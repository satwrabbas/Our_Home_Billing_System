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ورقة1"/>
    <sheet r:id="rId2" sheetId="2" name="ورقة2"/>
    <sheet r:id="rId3" sheetId="3" name="ورقة3"/>
  </sheets>
  <definedNames>
    <definedName name="_xlnm.Print_Area" localSheetId="1">ورقة2!$A$1:$S$29</definedName>
    <definedName name="سعر_التر_المربع_شهريا">ورقة1!$J$2+[1]ورقة1!$G$12:$I$12</definedName>
  </definedNames>
  <calcPr fullCalcOnLoad="1"/>
</workbook>
</file>

<file path=xl/sharedStrings.xml><?xml version="1.0" encoding="utf-8"?>
<sst xmlns="http://schemas.openxmlformats.org/spreadsheetml/2006/main" count="346" uniqueCount="270">
  <si>
    <t xml:space="preserve"> بيتنا      our home</t>
  </si>
  <si>
    <t>نسخة الفريق الاول</t>
  </si>
  <si>
    <t>قيمة المواد شهريا</t>
  </si>
  <si>
    <t>كمية /م2/ واحد</t>
  </si>
  <si>
    <t>وصل استلام قسط</t>
  </si>
  <si>
    <t>انشاء المستخدم: م.محمد كامل علي</t>
  </si>
  <si>
    <t>تاريخ الانشاء</t>
  </si>
  <si>
    <t>حديد</t>
  </si>
  <si>
    <t>كغ</t>
  </si>
  <si>
    <t>تاريخ الاستحقاق</t>
  </si>
  <si>
    <t>اسمنت</t>
  </si>
  <si>
    <t>كيس</t>
  </si>
  <si>
    <t>رقم القسط</t>
  </si>
  <si>
    <t>تاريخ الدفع</t>
  </si>
  <si>
    <t>بلوك</t>
  </si>
  <si>
    <t>بلوكة</t>
  </si>
  <si>
    <t>اسم الفريق الثاني</t>
  </si>
  <si>
    <t xml:space="preserve">خولة محمد </t>
  </si>
  <si>
    <t>كوفراج</t>
  </si>
  <si>
    <t>م3</t>
  </si>
  <si>
    <t>رقم الفريق الثاني</t>
  </si>
  <si>
    <t>رمل</t>
  </si>
  <si>
    <t>مجموع المبلغ</t>
  </si>
  <si>
    <t xml:space="preserve">فقط مئة وتسعة واربعون مليون ومئة وسبعة عشر الف وثلاثمئة واربع وخمسون ليرة </t>
  </si>
  <si>
    <t>عامل</t>
  </si>
  <si>
    <t>يوم</t>
  </si>
  <si>
    <t xml:space="preserve">سعر المتر  بتاريخه </t>
  </si>
  <si>
    <t>الرسوم</t>
  </si>
  <si>
    <t xml:space="preserve">الامتار المحولة </t>
  </si>
  <si>
    <t>تفاصيل القسط المدفوع</t>
  </si>
  <si>
    <t>اصل القسط</t>
  </si>
  <si>
    <t>سعر المتر بعد التخيض 25%</t>
  </si>
  <si>
    <r>
      <t>ا</t>
    </r>
    <r>
      <rPr>
        <b/>
        <sz val="10"/>
        <color rgb="FF000000"/>
        <rFont val="Arial"/>
        <family val="2"/>
      </rPr>
      <t>جمالي الامتار المحولة</t>
    </r>
  </si>
  <si>
    <t xml:space="preserve">فقط واحد وثلاثون مليون ليرة سورية </t>
  </si>
  <si>
    <t>المستلم :</t>
  </si>
  <si>
    <t xml:space="preserve">ملاحظة : تم استلام المبالغ على ثلاثة دفعات </t>
  </si>
  <si>
    <t>م.محمد كامل علي</t>
  </si>
  <si>
    <t>الدفعة الأولى :1500$*10300 الدفعة الثانية 1000$*10900</t>
  </si>
  <si>
    <t xml:space="preserve">والدفعة الثالثة :500$*12000  وهي تتمة حساب الشقة  والباقي 1350000حولت الى اعمال البلوك </t>
  </si>
  <si>
    <t>نسخة الفريق الثاني</t>
  </si>
  <si>
    <t>مساحة الشقة</t>
  </si>
  <si>
    <t>نوع العمل</t>
  </si>
  <si>
    <t>الوحدة</t>
  </si>
  <si>
    <t>السعر الافرادي</t>
  </si>
  <si>
    <t>الكمية</t>
  </si>
  <si>
    <t>السعر الاجمالي</t>
  </si>
  <si>
    <t>فراغ الطابق</t>
  </si>
  <si>
    <t>ابعاد النوافذ</t>
  </si>
  <si>
    <t xml:space="preserve">سعر المتر البواري </t>
  </si>
  <si>
    <t>اجرة تركيب م.ط مداخن</t>
  </si>
  <si>
    <t>معامل المداخن</t>
  </si>
  <si>
    <t>بتاريخ توقيع العقد</t>
  </si>
  <si>
    <t>سماكة البلاطة</t>
  </si>
  <si>
    <t>عرض النافذة</t>
  </si>
  <si>
    <t>اجرة تركيب المتر</t>
  </si>
  <si>
    <t>ثمن حديد مبروم  واصل الى موقع العمل</t>
  </si>
  <si>
    <t>ارتفاع المنامات</t>
  </si>
  <si>
    <t>عرض النافذة الوسطى</t>
  </si>
  <si>
    <t>رمل مداخن</t>
  </si>
  <si>
    <t xml:space="preserve">  ثمن اسمنت واصل الى موقع العمل</t>
  </si>
  <si>
    <t>ارتفاع العتب الخارجية</t>
  </si>
  <si>
    <t>عرض الباب</t>
  </si>
  <si>
    <t xml:space="preserve">اسمنت مداخن </t>
  </si>
  <si>
    <t xml:space="preserve">اجرة تركيب م.ط نوازل </t>
  </si>
  <si>
    <t>ثمن بلوك اسمنتي سامكة 15 سم واصل</t>
  </si>
  <si>
    <t xml:space="preserve">ارتفاع العتب الداخلي </t>
  </si>
  <si>
    <t>عدد الشقق</t>
  </si>
  <si>
    <t>سعر م3 قيراوني</t>
  </si>
  <si>
    <t>اجرة  م2 كلسة  داخلية</t>
  </si>
  <si>
    <t xml:space="preserve">اجور كوفارج و صب حديد وتحديد بيتون </t>
  </si>
  <si>
    <t xml:space="preserve">عدد المداخن </t>
  </si>
  <si>
    <t>عدد الطوابق</t>
  </si>
  <si>
    <t xml:space="preserve">بودرا </t>
  </si>
  <si>
    <t>اجرة تركيب م2بلوك</t>
  </si>
  <si>
    <t>مسلح لزوم قواعد و اعمدة و بلاطة هوردي</t>
  </si>
  <si>
    <t>مساحة الطابق</t>
  </si>
  <si>
    <t>سعر 1 كيلو لاصق طوبى</t>
  </si>
  <si>
    <t xml:space="preserve">اجرة تركيب م2 رخام </t>
  </si>
  <si>
    <t>ثمن مواد حصوية جرجرة \بحص + نحاته \ واصل الى الموقع</t>
  </si>
  <si>
    <t>اجرة تركيب م2 حجر</t>
  </si>
  <si>
    <t>اجور صقل + اسمنت</t>
  </si>
  <si>
    <t>قيمة ريغار</t>
  </si>
  <si>
    <t xml:space="preserve">اجرة تركيب م2 سيراميك </t>
  </si>
  <si>
    <t>اجور سقاية + شريط تربيط + هوالك</t>
  </si>
  <si>
    <t>سعر بوري 8 ً طوبى</t>
  </si>
  <si>
    <t xml:space="preserve">اجرة تركيب م.ط شعيرة </t>
  </si>
  <si>
    <t>أعمدة</t>
  </si>
  <si>
    <t>سعر بوري 6 ً طوبى</t>
  </si>
  <si>
    <t xml:space="preserve">اجور الرخصة </t>
  </si>
  <si>
    <t xml:space="preserve">سعر بوري 4 ً طوبى </t>
  </si>
  <si>
    <t xml:space="preserve">  المداخن</t>
  </si>
  <si>
    <t>م</t>
  </si>
  <si>
    <t>سعر بوري 3 ً طوبى</t>
  </si>
  <si>
    <t>نوازل صحية</t>
  </si>
  <si>
    <t>سعر تي 4 ً</t>
  </si>
  <si>
    <t>أجرة م2 كلسة  خارجية</t>
  </si>
  <si>
    <t>درج</t>
  </si>
  <si>
    <t>سعر تي 3 ً</t>
  </si>
  <si>
    <t xml:space="preserve">منامات السطح و بيت الدرج </t>
  </si>
  <si>
    <t>كوع مدفع 4 ً</t>
  </si>
  <si>
    <t>كلسة خارجية</t>
  </si>
  <si>
    <t>كواني 3 ً</t>
  </si>
  <si>
    <t>بلوك خارجي</t>
  </si>
  <si>
    <t>صرف صحي</t>
  </si>
  <si>
    <t>سعر بلوك 10 سم</t>
  </si>
  <si>
    <t xml:space="preserve">قواعد و أساسات مسلحة </t>
  </si>
  <si>
    <t>سعر بلوك 12 سم</t>
  </si>
  <si>
    <t xml:space="preserve">بيتون مغموس ونظافة </t>
  </si>
  <si>
    <t>رخام تركي 3 سم</t>
  </si>
  <si>
    <t>حفريات</t>
  </si>
  <si>
    <t>رخام تركي 1.5 سم</t>
  </si>
  <si>
    <t>جدران  استندادية</t>
  </si>
  <si>
    <t>معامل الارض</t>
  </si>
  <si>
    <t xml:space="preserve">معامل تنفيذ </t>
  </si>
  <si>
    <t>معامل راس مال</t>
  </si>
  <si>
    <t>الطابق</t>
  </si>
  <si>
    <t>قبو 2</t>
  </si>
  <si>
    <t>قبو 1</t>
  </si>
  <si>
    <t>ارضي</t>
  </si>
  <si>
    <t>المعيارا لدائم لحساب القسط الشهري بدلالة قيمة البنود التالية وفق السعر المتفق عليع بتاريخ توقيع العقد</t>
  </si>
  <si>
    <t xml:space="preserve">مساحة الشقة </t>
  </si>
  <si>
    <t>الطابق الأول</t>
  </si>
  <si>
    <t xml:space="preserve">شقة رقم </t>
  </si>
  <si>
    <t>التحويل من لاحق الخصص</t>
  </si>
  <si>
    <t>عدد الأقساط</t>
  </si>
  <si>
    <t xml:space="preserve">قيمة القسط الشهري </t>
  </si>
  <si>
    <t>مسلسل</t>
  </si>
  <si>
    <t xml:space="preserve">السعر الافرادي </t>
  </si>
  <si>
    <t>بتاريخ دفع القسط</t>
  </si>
  <si>
    <t>سعر المتر المربع عند التوقيع</t>
  </si>
  <si>
    <t>سعر الأمتار الباقية</t>
  </si>
  <si>
    <t>سعر المتر المربع شهريا</t>
  </si>
  <si>
    <t>الأمتار الباقية</t>
  </si>
  <si>
    <t>قيمة الشقة عند توقيع العقد</t>
  </si>
  <si>
    <t>سعر المتر الشهري</t>
  </si>
  <si>
    <t>قيمة القسط</t>
  </si>
  <si>
    <t>مجموع تراكمي</t>
  </si>
  <si>
    <t>تاريخ القسط</t>
  </si>
  <si>
    <t>عدد الامتار المباعة</t>
  </si>
  <si>
    <t>دفعة أولى</t>
  </si>
  <si>
    <t>2023\7\20</t>
  </si>
  <si>
    <t xml:space="preserve">اجور عمل لعامـل عادي 7 ساعات </t>
  </si>
  <si>
    <t>القسط 2</t>
  </si>
  <si>
    <t>2023\7\29</t>
  </si>
  <si>
    <t>القيمة الاجمالية للبنود السابقة بتاريخ العقد</t>
  </si>
  <si>
    <t>القسط 3</t>
  </si>
  <si>
    <t>2023\9\3</t>
  </si>
  <si>
    <t xml:space="preserve">سعر المتر المربع من الشقة المباعة وفق العقد   </t>
  </si>
  <si>
    <t>القسط 4</t>
  </si>
  <si>
    <t>2023\10\8</t>
  </si>
  <si>
    <t>القسط 5</t>
  </si>
  <si>
    <t>2023\11\13</t>
  </si>
  <si>
    <t>القسط 6</t>
  </si>
  <si>
    <t>3\12\2023</t>
  </si>
  <si>
    <t>القسط 7</t>
  </si>
  <si>
    <t>2024\1\9</t>
  </si>
  <si>
    <t>القسط 8</t>
  </si>
  <si>
    <t>2024\2\7</t>
  </si>
  <si>
    <t>الشقة</t>
  </si>
  <si>
    <t>القسط 9</t>
  </si>
  <si>
    <t>2024\3\3</t>
  </si>
  <si>
    <t>معامل الطابق</t>
  </si>
  <si>
    <t>القسط 10</t>
  </si>
  <si>
    <t>2024\4\4</t>
  </si>
  <si>
    <t>القسط 11</t>
  </si>
  <si>
    <t>2024\5\5</t>
  </si>
  <si>
    <t>القسط 12</t>
  </si>
  <si>
    <t>2024\6\5</t>
  </si>
  <si>
    <t>القسط 13</t>
  </si>
  <si>
    <t>2024\6\27</t>
  </si>
  <si>
    <t>قيمة المصعد</t>
  </si>
  <si>
    <t>القسط 14</t>
  </si>
  <si>
    <t>2024\8\8</t>
  </si>
  <si>
    <t>عدد الدرجات حسب الطابق</t>
  </si>
  <si>
    <t>القسط 15</t>
  </si>
  <si>
    <t>2024\9\8</t>
  </si>
  <si>
    <t>ما يلحق الدرجة الواحدة بدلالة المتر من قيمة المصعد</t>
  </si>
  <si>
    <t>القسط 16</t>
  </si>
  <si>
    <t>2024\11\17</t>
  </si>
  <si>
    <t>معامل المصعد</t>
  </si>
  <si>
    <t>القسط 17</t>
  </si>
  <si>
    <t>2025\1\9</t>
  </si>
  <si>
    <t>القسط 18</t>
  </si>
  <si>
    <t>تخفيض 10%</t>
  </si>
  <si>
    <t>2025\1\20</t>
  </si>
  <si>
    <t>القسط 19</t>
  </si>
  <si>
    <t>تخفيض 15%</t>
  </si>
  <si>
    <t>10 مليون</t>
  </si>
  <si>
    <t xml:space="preserve"> الوجيبة </t>
  </si>
  <si>
    <t>أماميه</t>
  </si>
  <si>
    <t>جانبيه</t>
  </si>
  <si>
    <t>خلفية</t>
  </si>
  <si>
    <t>لاحق التخصص</t>
  </si>
  <si>
    <t xml:space="preserve"> متخصص</t>
  </si>
  <si>
    <t>القسط 20</t>
  </si>
  <si>
    <t>تخفيض 20%</t>
  </si>
  <si>
    <t>القسط 21</t>
  </si>
  <si>
    <t>تخفيض 25%</t>
  </si>
  <si>
    <t>2026\8\4</t>
  </si>
  <si>
    <t xml:space="preserve"> معامل الوجيبة </t>
  </si>
  <si>
    <t>القسط 22</t>
  </si>
  <si>
    <t>شارع رئيسي</t>
  </si>
  <si>
    <t>القسط 23</t>
  </si>
  <si>
    <t>معامل الشارع</t>
  </si>
  <si>
    <t>رئيسي</t>
  </si>
  <si>
    <t>تنظيمي</t>
  </si>
  <si>
    <t>شارع فرعي</t>
  </si>
  <si>
    <t>القسط 24</t>
  </si>
  <si>
    <t>شارعين متوازين</t>
  </si>
  <si>
    <t xml:space="preserve">شارع </t>
  </si>
  <si>
    <t>القسط 25</t>
  </si>
  <si>
    <t>شارعين متقاطعين</t>
  </si>
  <si>
    <t>القسط 26</t>
  </si>
  <si>
    <t>القسط 27</t>
  </si>
  <si>
    <t>الاتــــــــجـــاه</t>
  </si>
  <si>
    <t>جنوب</t>
  </si>
  <si>
    <t>شرق</t>
  </si>
  <si>
    <t xml:space="preserve">شمال </t>
  </si>
  <si>
    <t>غرب</t>
  </si>
  <si>
    <t>الاطلالة</t>
  </si>
  <si>
    <t>الموقع</t>
  </si>
  <si>
    <t>القسط 28</t>
  </si>
  <si>
    <t>القسط 29</t>
  </si>
  <si>
    <t>معامل الاتجــــــــاه</t>
  </si>
  <si>
    <t>القسط 30</t>
  </si>
  <si>
    <t>القسط 31</t>
  </si>
  <si>
    <t xml:space="preserve">الوجيبة </t>
  </si>
  <si>
    <t>الاتجاه</t>
  </si>
  <si>
    <t>الشارع</t>
  </si>
  <si>
    <t>المصعد</t>
  </si>
  <si>
    <t>القسط 32</t>
  </si>
  <si>
    <t>وصف الشقة قبل التخصص</t>
  </si>
  <si>
    <t>القسط 33</t>
  </si>
  <si>
    <t>القسط 34</t>
  </si>
  <si>
    <t>الشقة بعد التخصص</t>
  </si>
  <si>
    <t>القسط 35</t>
  </si>
  <si>
    <t>وصف الشقة بعد التخصص</t>
  </si>
  <si>
    <t>القسط 36</t>
  </si>
  <si>
    <t>القسط 37</t>
  </si>
  <si>
    <t>معامل التحويل النهائي</t>
  </si>
  <si>
    <t>القسط 38</t>
  </si>
  <si>
    <t>مجموع المبالغ المدفوعة</t>
  </si>
  <si>
    <t xml:space="preserve">مجموع الامتارالنهائية </t>
  </si>
  <si>
    <t>القسط 39</t>
  </si>
  <si>
    <t xml:space="preserve">الباقي </t>
  </si>
  <si>
    <t>مجموع ما تبقى</t>
  </si>
  <si>
    <t>.</t>
  </si>
  <si>
    <t>القسط 40</t>
  </si>
  <si>
    <t>$</t>
  </si>
  <si>
    <t>مجموع ما يمتلكه من أمتار</t>
  </si>
  <si>
    <t>القسط 41</t>
  </si>
  <si>
    <t>القسط 42</t>
  </si>
  <si>
    <t>القسط 43</t>
  </si>
  <si>
    <t>القسط 44</t>
  </si>
  <si>
    <t>القسط 45</t>
  </si>
  <si>
    <t>القسط 46</t>
  </si>
  <si>
    <t>القسط 47</t>
  </si>
  <si>
    <t>القسط 48</t>
  </si>
  <si>
    <t>القسط 49</t>
  </si>
  <si>
    <t>القسط 50</t>
  </si>
  <si>
    <t>القسط 51</t>
  </si>
  <si>
    <t>القسط 52</t>
  </si>
  <si>
    <t>القسط 53</t>
  </si>
  <si>
    <t>القسط 54</t>
  </si>
  <si>
    <t>القسط 55</t>
  </si>
  <si>
    <t>القسط 56</t>
  </si>
  <si>
    <t>القسط 57</t>
  </si>
  <si>
    <t>القسط 58</t>
  </si>
  <si>
    <t>القسط 59</t>
  </si>
  <si>
    <t>القسط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</si>
</sst>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1"/>
      <color rgb="FF558ed5"/>
      <name val="Arial"/>
      <family val="2"/>
    </font>
    <font>
      <sz val="12"/>
      <color rgb="FF558ed5"/>
      <name val="Arial"/>
      <family val="2"/>
    </font>
    <font>
      <b/>
      <i/>
      <u/>
      <sz val="11"/>
      <color rgb="FF000000"/>
      <name val="Arial"/>
      <family val="2"/>
    </font>
    <font>
      <sz val="16"/>
      <color rgb="FFff0000"/>
      <name val="Arial"/>
      <family val="2"/>
    </font>
    <font>
      <sz val="14"/>
      <color rgb="FF31859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dcdb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Dashed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3" applyBorder="1" fontId="3" applyFont="1" fillId="0" applyAlignment="1">
      <alignment horizontal="center" vertical="top"/>
    </xf>
    <xf xfId="0" numFmtId="4" applyNumberFormat="1" borderId="3" applyBorder="1" fontId="3" applyFont="1" fillId="0" applyAlignment="1">
      <alignment horizontal="center"/>
    </xf>
    <xf xfId="0" numFmtId="3" applyNumberFormat="1" borderId="4" applyBorder="1" fontId="4" applyFont="1" fillId="0" applyAlignment="1">
      <alignment horizontal="center" vertical="top" wrapText="1"/>
    </xf>
    <xf xfId="0" numFmtId="0" borderId="5" applyBorder="1" fontId="4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6" applyBorder="1" fontId="4" applyFont="1" fillId="0" applyAlignment="1">
      <alignment horizontal="center"/>
    </xf>
    <xf xfId="0" numFmtId="3" applyNumberFormat="1" borderId="7" applyBorder="1" fontId="4" applyFont="1" fillId="0" applyAlignment="1">
      <alignment horizontal="center"/>
    </xf>
    <xf xfId="0" numFmtId="0" borderId="7" applyBorder="1" fontId="4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3" applyNumberFormat="1" borderId="8" applyBorder="1" fontId="4" applyFont="1" fillId="0" applyAlignment="1">
      <alignment horizontal="center" wrapText="1"/>
    </xf>
    <xf xfId="0" numFmtId="0" borderId="9" applyBorder="1" fontId="4" applyFont="1" fillId="0" applyAlignment="1">
      <alignment horizontal="center" wrapText="1"/>
    </xf>
    <xf xfId="0" numFmtId="0" borderId="10" applyBorder="1" fontId="3" applyFont="1" fillId="0" applyAlignment="1">
      <alignment horizontal="center"/>
    </xf>
    <xf xfId="0" numFmtId="3" applyNumberFormat="1" borderId="10" applyBorder="1" fontId="3" applyFont="1" fillId="0" applyAlignment="1">
      <alignment horizontal="center"/>
    </xf>
    <xf xfId="0" numFmtId="3" applyNumberFormat="1" borderId="11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3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1" applyBorder="1" fontId="3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0" borderId="11" applyBorder="1" fontId="3" applyFont="1" fillId="0" applyAlignment="1">
      <alignment horizontal="left"/>
    </xf>
    <xf xfId="0" numFmtId="0" borderId="12" applyBorder="1" fontId="2" applyFont="1" fillId="0" applyAlignment="1">
      <alignment horizontal="center"/>
    </xf>
    <xf xfId="0" numFmtId="3" applyNumberFormat="1" borderId="13" applyBorder="1" fontId="2" applyFont="1" fillId="0" applyAlignment="1">
      <alignment horizontal="center"/>
    </xf>
    <xf xfId="0" numFmtId="3" applyNumberFormat="1" borderId="11" applyBorder="1" fontId="1" applyFont="1" fillId="0" applyAlignment="1">
      <alignment horizontal="center"/>
    </xf>
    <xf xfId="0" numFmtId="0" borderId="11" applyBorder="1" fontId="1" applyFont="1" fillId="0" applyAlignment="1">
      <alignment horizontal="center"/>
    </xf>
    <xf xfId="0" numFmtId="0" borderId="11" applyBorder="1" fontId="2" applyFont="1" fillId="0" applyAlignment="1">
      <alignment horizontal="left"/>
    </xf>
    <xf xfId="0" numFmtId="3" applyNumberFormat="1" borderId="14" applyBorder="1" fontId="2" applyFont="1" fillId="0" applyAlignment="1">
      <alignment horizontal="left"/>
    </xf>
    <xf xfId="0" numFmtId="3" applyNumberFormat="1" borderId="11" applyBorder="1" fontId="4" applyFont="1" fillId="0" applyAlignment="1">
      <alignment horizontal="right"/>
    </xf>
    <xf xfId="0" numFmtId="3" applyNumberFormat="1" borderId="11" applyBorder="1" fontId="2" applyFont="1" fillId="0" applyAlignment="1">
      <alignment horizontal="center"/>
    </xf>
    <xf xfId="0" numFmtId="0" borderId="11" applyBorder="1" fontId="2" applyFont="1" fillId="0" applyAlignment="1">
      <alignment horizontal="center"/>
    </xf>
    <xf xfId="0" numFmtId="3" applyNumberFormat="1" borderId="14" applyBorder="1" fontId="2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15" applyBorder="1" fontId="3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3" applyNumberFormat="1" borderId="11" applyBorder="1" fontId="5" applyFont="1" fillId="0" applyAlignment="1">
      <alignment horizontal="center"/>
    </xf>
    <xf xfId="0" numFmtId="0" borderId="15" applyBorder="1" fontId="3" applyFont="1" fillId="0" applyAlignment="1">
      <alignment horizontal="center" vertical="top"/>
    </xf>
    <xf xfId="0" numFmtId="3" applyNumberFormat="1" borderId="15" applyBorder="1" fontId="3" applyFont="1" fillId="0" applyAlignment="1">
      <alignment horizontal="center"/>
    </xf>
    <xf xfId="0" numFmtId="3" applyNumberFormat="1" borderId="16" applyBorder="1" fontId="3" applyFont="1" fillId="0" applyAlignment="1">
      <alignment horizontal="center"/>
    </xf>
    <xf xfId="0" numFmtId="0" borderId="17" applyBorder="1" fontId="3" applyFont="1" fillId="0" applyAlignment="1">
      <alignment horizontal="center"/>
    </xf>
    <xf xfId="0" numFmtId="0" borderId="16" applyBorder="1" fontId="2" applyFont="1" fillId="0" applyAlignment="1">
      <alignment horizontal="center"/>
    </xf>
    <xf xfId="0" numFmtId="0" borderId="17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18" applyBorder="1" fontId="3" applyFont="1" fillId="0" applyAlignment="1">
      <alignment horizontal="center" vertical="top" wrapText="1"/>
    </xf>
    <xf xfId="0" numFmtId="4" applyNumberFormat="1" borderId="5" applyBorder="1" fontId="2" applyFont="1" fillId="0" applyAlignment="1">
      <alignment horizontal="center" vertical="top"/>
    </xf>
    <xf xfId="0" numFmtId="3" applyNumberFormat="1" borderId="17" applyBorder="1" fontId="3" applyFont="1" fillId="0" applyAlignment="1">
      <alignment horizontal="center"/>
    </xf>
    <xf xfId="0" numFmtId="0" borderId="16" applyBorder="1" fontId="2" applyFont="1" fillId="0" applyAlignment="1">
      <alignment horizontal="center" wrapText="1"/>
    </xf>
    <xf xfId="0" numFmtId="0" borderId="17" applyBorder="1" fontId="2" applyFont="1" fillId="0" applyAlignment="1">
      <alignment horizontal="center" wrapText="1"/>
    </xf>
    <xf xfId="0" numFmtId="3" applyNumberFormat="1" borderId="2" applyBorder="1" fontId="4" applyFont="1" fillId="0" applyAlignment="1">
      <alignment horizontal="center"/>
    </xf>
    <xf xfId="0" numFmtId="0" borderId="19" applyBorder="1" fontId="3" applyFont="1" fillId="0" applyAlignment="1">
      <alignment horizontal="center" wrapText="1"/>
    </xf>
    <xf xfId="0" numFmtId="4" applyNumberFormat="1" borderId="9" applyBorder="1" fontId="2" applyFont="1" fillId="0" applyAlignment="1">
      <alignment horizontal="center"/>
    </xf>
    <xf xfId="0" numFmtId="3" applyNumberFormat="1" borderId="11" applyBorder="1" fontId="6" applyFont="1" fillId="0" applyAlignment="1">
      <alignment horizontal="left"/>
    </xf>
    <xf xfId="0" numFmtId="0" borderId="11" applyBorder="1" fontId="7" applyFont="1" fillId="0" applyAlignment="1">
      <alignment horizontal="left"/>
    </xf>
    <xf xfId="0" numFmtId="3" applyNumberFormat="1" borderId="11" applyBorder="1" fontId="3" applyFont="1" fillId="0" applyAlignment="1">
      <alignment horizontal="lef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11" applyBorder="1" fontId="2" applyFont="1" fillId="0" applyAlignment="1">
      <alignment horizontal="left"/>
    </xf>
    <xf xfId="0" numFmtId="0" borderId="20" applyBorder="1" fontId="2" applyFont="1" fillId="0" applyAlignment="1">
      <alignment horizontal="left"/>
    </xf>
    <xf xfId="0" numFmtId="3" applyNumberFormat="1" borderId="20" applyBorder="1" fontId="2" applyFont="1" fillId="0" applyAlignment="1">
      <alignment horizontal="left"/>
    </xf>
    <xf xfId="0" numFmtId="0" borderId="20" applyBorder="1" fontId="2" applyFont="1" fillId="0" applyAlignment="1">
      <alignment horizontal="center"/>
    </xf>
    <xf xfId="0" numFmtId="4" applyNumberFormat="1" borderId="20" applyBorder="1" fontId="2" applyFont="1" fillId="0" applyAlignment="1">
      <alignment horizontal="center"/>
    </xf>
    <xf xfId="0" numFmtId="0" borderId="16" applyBorder="1" fontId="1" applyFont="1" fillId="0" applyAlignment="1">
      <alignment horizontal="center"/>
    </xf>
    <xf xfId="0" numFmtId="3" applyNumberFormat="1" borderId="21" applyBorder="1" fontId="1" applyFont="1" fillId="0" applyAlignment="1">
      <alignment horizontal="center"/>
    </xf>
    <xf xfId="0" numFmtId="3" applyNumberFormat="1" borderId="21" applyBorder="1" fontId="2" applyFont="1" fillId="0" applyAlignment="1">
      <alignment horizontal="left"/>
    </xf>
    <xf xfId="0" numFmtId="0" borderId="21" applyBorder="1" fontId="2" applyFont="1" fillId="0" applyAlignment="1">
      <alignment horizontal="left"/>
    </xf>
    <xf xfId="0" numFmtId="0" borderId="16" applyBorder="1" fontId="4" applyFont="1" fillId="0" applyAlignment="1">
      <alignment horizontal="center"/>
    </xf>
    <xf xfId="0" numFmtId="3" applyNumberFormat="1" borderId="21" applyBorder="1" fontId="4" applyFont="1" fillId="0" applyAlignment="1">
      <alignment horizontal="center"/>
    </xf>
    <xf xfId="0" numFmtId="0" borderId="21" applyBorder="1" fontId="4" applyFont="1" fillId="0" applyAlignment="1">
      <alignment horizontal="center"/>
    </xf>
    <xf xfId="0" numFmtId="3" applyNumberFormat="1" borderId="22" applyBorder="1" fontId="2" applyFont="1" fillId="0" applyAlignment="1">
      <alignment horizontal="center"/>
    </xf>
    <xf xfId="0" numFmtId="3" applyNumberFormat="1" borderId="14" applyBorder="1" fontId="3" applyFont="1" fillId="0" applyAlignment="1">
      <alignment horizontal="center"/>
    </xf>
    <xf xfId="0" numFmtId="3" applyNumberFormat="1" borderId="11" applyBorder="1" fontId="3" applyFont="1" fillId="0" applyAlignment="1">
      <alignment horizontal="right"/>
    </xf>
    <xf xfId="0" numFmtId="0" borderId="11" applyBorder="1" fontId="2" applyFont="1" fillId="0" applyAlignment="1">
      <alignment horizontal="left"/>
    </xf>
    <xf xfId="0" numFmtId="0" borderId="16" applyBorder="1" fontId="3" applyFont="1" fillId="0" applyAlignment="1">
      <alignment horizontal="center"/>
    </xf>
    <xf xfId="0" numFmtId="4" applyNumberFormat="1" borderId="22" applyBorder="1" fontId="2" applyFont="1" fillId="0" applyAlignment="1">
      <alignment horizontal="center"/>
    </xf>
    <xf xfId="0" numFmtId="0" borderId="23" applyBorder="1" fontId="3" applyFont="1" fillId="0" applyAlignment="1">
      <alignment horizontal="center" vertical="top" wrapText="1"/>
    </xf>
    <xf xfId="0" numFmtId="4" applyNumberFormat="1" borderId="14" applyBorder="1" fontId="2" applyFont="1" fillId="0" applyAlignment="1">
      <alignment horizontal="center" vertical="top"/>
    </xf>
    <xf xfId="0" numFmtId="0" borderId="16" applyBorder="1" fontId="3" applyFont="1" fillId="0" applyAlignment="1">
      <alignment horizontal="center" wrapText="1"/>
    </xf>
    <xf xfId="0" numFmtId="0" borderId="17" applyBorder="1" fontId="3" applyFont="1" fillId="0" applyAlignment="1">
      <alignment horizontal="center" wrapText="1"/>
    </xf>
    <xf xfId="0" numFmtId="0" borderId="24" applyBorder="1" fontId="2" applyFont="1" fillId="0" applyAlignment="1">
      <alignment horizontal="left"/>
    </xf>
    <xf xfId="0" numFmtId="3" applyNumberFormat="1" borderId="24" applyBorder="1" fontId="2" applyFont="1" fillId="0" applyAlignment="1">
      <alignment horizontal="left"/>
    </xf>
    <xf xfId="0" numFmtId="0" borderId="24" applyBorder="1" fontId="2" applyFont="1" fillId="0" applyAlignment="1">
      <alignment horizontal="center"/>
    </xf>
    <xf xfId="0" numFmtId="4" applyNumberFormat="1" borderId="24" applyBorder="1" fontId="2" applyFont="1" fillId="0" applyAlignment="1">
      <alignment horizontal="center"/>
    </xf>
    <xf xfId="0" numFmtId="0" borderId="10" applyBorder="1" fontId="2" applyFont="1" fillId="0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0" borderId="10" applyBorder="1" fontId="2" applyFont="1" fillId="0" applyAlignment="1">
      <alignment horizontal="center"/>
    </xf>
    <xf xfId="0" numFmtId="4" applyNumberFormat="1" borderId="10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1" applyBorder="1" fontId="5" applyFont="1" fillId="0" applyAlignment="1">
      <alignment horizontal="center"/>
    </xf>
    <xf xfId="0" numFmtId="4" applyNumberFormat="1" borderId="11" applyBorder="1" fontId="5" applyFont="1" fillId="0" applyAlignment="1">
      <alignment horizontal="center"/>
    </xf>
    <xf xfId="0" numFmtId="3" applyNumberFormat="1" borderId="25" applyBorder="1" fontId="5" applyFont="1" fillId="0" applyAlignment="1">
      <alignment horizontal="center" vertical="top"/>
    </xf>
    <xf xfId="0" numFmtId="0" borderId="26" applyBorder="1" fontId="5" applyFont="1" fillId="0" applyAlignment="1">
      <alignment horizontal="left"/>
    </xf>
    <xf xfId="0" numFmtId="0" borderId="27" applyBorder="1" fontId="5" applyFont="1" fillId="0" applyAlignment="1">
      <alignment horizontal="center" vertical="top"/>
    </xf>
    <xf xfId="0" numFmtId="3" applyNumberFormat="1" borderId="11" applyBorder="1" fontId="5" applyFont="1" fillId="0" applyAlignment="1">
      <alignment horizontal="center" vertical="top"/>
    </xf>
    <xf xfId="0" numFmtId="4" applyNumberFormat="1" borderId="11" applyBorder="1" fontId="5" applyFont="1" fillId="0" applyAlignment="1">
      <alignment horizontal="center" vertical="top"/>
    </xf>
    <xf xfId="0" numFmtId="3" applyNumberFormat="1" borderId="25" applyBorder="1" fontId="5" applyFont="1" fillId="0" applyAlignment="1">
      <alignment horizontal="center"/>
    </xf>
    <xf xfId="0" numFmtId="0" borderId="28" applyBorder="1" fontId="5" applyFont="1" fillId="0" applyAlignment="1">
      <alignment horizontal="left"/>
    </xf>
    <xf xfId="0" numFmtId="0" borderId="27" applyBorder="1" fontId="5" applyFont="1" fillId="0" applyAlignment="1">
      <alignment horizontal="center"/>
    </xf>
    <xf xfId="0" numFmtId="3" applyNumberFormat="1" borderId="11" applyBorder="1" fontId="8" applyFont="1" fillId="0" applyAlignment="1">
      <alignment horizontal="center"/>
    </xf>
    <xf xfId="0" numFmtId="0" borderId="11" applyBorder="1" fontId="8" applyFont="1" fillId="0" applyAlignment="1">
      <alignment horizontal="center"/>
    </xf>
    <xf xfId="0" numFmtId="3" applyNumberFormat="1" borderId="11" applyBorder="1" fontId="8" applyFont="1" fillId="0" applyAlignment="1">
      <alignment horizontal="right"/>
    </xf>
    <xf xfId="0" numFmtId="4" applyNumberFormat="1" borderId="11" applyBorder="1" fontId="8" applyFont="1" fillId="0" applyAlignment="1">
      <alignment horizontal="right"/>
    </xf>
    <xf xfId="0" numFmtId="4" applyNumberFormat="1" borderId="11" applyBorder="1" fontId="5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29" applyBorder="1" fontId="5" applyFont="1" fillId="0" applyAlignment="1">
      <alignment horizontal="right"/>
    </xf>
    <xf xfId="0" numFmtId="4" applyNumberFormat="1" borderId="3" applyBorder="1" fontId="5" applyFont="1" fillId="0" applyAlignment="1">
      <alignment horizontal="right"/>
    </xf>
    <xf xfId="0" numFmtId="3" applyNumberFormat="1" borderId="11" applyBorder="1" fontId="5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30" applyBorder="1" fontId="9" applyFont="1" fillId="0" applyAlignment="1">
      <alignment horizontal="center"/>
    </xf>
    <xf xfId="0" numFmtId="3" applyNumberFormat="1" borderId="10" applyBorder="1" fontId="9" applyFont="1" fillId="0" applyAlignment="1">
      <alignment horizontal="center"/>
    </xf>
    <xf xfId="0" numFmtId="3" applyNumberFormat="1" borderId="31" applyBorder="1" fontId="9" applyFont="1" fillId="0" applyAlignment="1">
      <alignment horizontal="center"/>
    </xf>
    <xf xfId="0" numFmtId="3" applyNumberFormat="1" borderId="32" applyBorder="1" fontId="9" applyFont="1" fillId="0" applyAlignment="1">
      <alignment horizontal="center"/>
    </xf>
    <xf xfId="0" numFmtId="4" applyNumberFormat="1" borderId="33" applyBorder="1" fontId="5" applyFont="1" fillId="0" applyAlignment="1">
      <alignment horizontal="center"/>
    </xf>
    <xf xfId="0" numFmtId="3" applyNumberFormat="1" borderId="34" applyBorder="1" fontId="5" applyFont="1" fillId="0" applyAlignment="1">
      <alignment horizontal="center"/>
    </xf>
    <xf xfId="0" numFmtId="3" applyNumberFormat="1" borderId="35" applyBorder="1" fontId="5" applyFont="1" fillId="0" applyAlignment="1">
      <alignment horizontal="center"/>
    </xf>
    <xf xfId="0" numFmtId="3" applyNumberFormat="1" borderId="36" applyBorder="1" fontId="5" applyFont="1" fillId="0" applyAlignment="1">
      <alignment horizontal="center"/>
    </xf>
    <xf xfId="0" numFmtId="3" applyNumberFormat="1" borderId="37" applyBorder="1" fontId="5" applyFont="1" fillId="0" applyAlignment="1">
      <alignment horizontal="center"/>
    </xf>
    <xf xfId="0" numFmtId="3" applyNumberFormat="1" borderId="18" applyBorder="1" fontId="5" applyFont="1" fillId="0" applyAlignment="1">
      <alignment horizontal="center" wrapText="1"/>
    </xf>
    <xf xfId="0" numFmtId="3" applyNumberFormat="1" borderId="18" applyBorder="1" fontId="5" applyFont="1" fillId="0" applyAlignment="1">
      <alignment horizontal="center"/>
    </xf>
    <xf xfId="0" numFmtId="4" applyNumberFormat="1" borderId="7" applyBorder="1" fontId="5" applyFont="1" fillId="0" applyAlignment="1">
      <alignment horizontal="center"/>
    </xf>
    <xf xfId="0" numFmtId="4" applyNumberFormat="1" borderId="18" applyBorder="1" fontId="5" applyFont="1" fillId="0" applyAlignment="1">
      <alignment horizontal="center"/>
    </xf>
    <xf xfId="0" numFmtId="0" borderId="36" applyBorder="1" fontId="5" applyFont="1" fillId="0" applyAlignment="1">
      <alignment horizontal="center"/>
    </xf>
    <xf xfId="0" numFmtId="4" applyNumberFormat="1" borderId="38" applyBorder="1" fontId="5" applyFont="1" fillId="0" applyAlignment="1">
      <alignment horizontal="center"/>
    </xf>
    <xf xfId="0" numFmtId="3" applyNumberFormat="1" borderId="38" applyBorder="1" fontId="5" applyFont="1" fillId="0" applyAlignment="1">
      <alignment horizontal="right"/>
    </xf>
    <xf xfId="0" numFmtId="3" applyNumberFormat="1" borderId="39" applyBorder="1" fontId="5" applyFont="1" fillId="0" applyAlignment="1">
      <alignment horizontal="center"/>
    </xf>
    <xf xfId="0" numFmtId="3" applyNumberFormat="1" borderId="40" applyBorder="1" fontId="5" applyFont="1" fillId="0" applyAlignment="1">
      <alignment horizontal="center"/>
    </xf>
    <xf xfId="0" numFmtId="4" applyNumberFormat="1" borderId="19" applyBorder="1" fontId="5" applyFont="1" fillId="0" applyAlignment="1">
      <alignment horizontal="center"/>
    </xf>
    <xf xfId="0" numFmtId="3" applyNumberFormat="1" borderId="19" applyBorder="1" fontId="2" applyFont="1" fillId="0" applyAlignment="1">
      <alignment horizontal="center"/>
    </xf>
    <xf xfId="0" numFmtId="4" applyNumberFormat="1" borderId="40" applyBorder="1" fontId="5" applyFont="1" fillId="0" applyAlignment="1">
      <alignment horizontal="center"/>
    </xf>
    <xf xfId="0" numFmtId="0" borderId="41" applyBorder="1" fontId="5" applyFont="1" fillId="0" applyAlignment="1">
      <alignment horizontal="center"/>
    </xf>
    <xf xfId="0" numFmtId="3" applyNumberFormat="1" borderId="33" applyBorder="1" fontId="5" applyFont="1" fillId="0" applyAlignment="1">
      <alignment horizontal="center"/>
    </xf>
    <xf xfId="0" numFmtId="3" applyNumberFormat="1" borderId="42" applyBorder="1" fontId="5" applyFont="1" fillId="0" applyAlignment="1">
      <alignment horizontal="center"/>
    </xf>
    <xf xfId="0" numFmtId="0" borderId="18" applyBorder="1" fontId="5" applyFont="1" fillId="0" applyAlignment="1">
      <alignment horizontal="center"/>
    </xf>
    <xf xfId="0" numFmtId="4" applyNumberFormat="1" borderId="36" applyBorder="1" fontId="5" applyFont="1" fillId="0" applyAlignment="1">
      <alignment horizontal="center"/>
    </xf>
    <xf xfId="0" numFmtId="3" applyNumberFormat="1" borderId="38" applyBorder="1" fontId="5" applyFont="1" fillId="0" applyAlignment="1">
      <alignment horizontal="center"/>
    </xf>
    <xf xfId="0" numFmtId="3" applyNumberFormat="1" borderId="36" applyBorder="1" fontId="10" applyFont="1" fillId="2" applyFill="1" applyAlignment="1">
      <alignment horizontal="center"/>
    </xf>
    <xf xfId="0" numFmtId="3" applyNumberFormat="1" borderId="37" applyBorder="1" fontId="10" applyFont="1" fillId="0" applyAlignment="1">
      <alignment horizontal="center"/>
    </xf>
    <xf xfId="0" numFmtId="3" applyNumberFormat="1" borderId="43" applyBorder="1" fontId="5" applyFont="1" fillId="0" applyAlignment="1">
      <alignment horizontal="center"/>
    </xf>
    <xf xfId="0" numFmtId="3" applyNumberFormat="1" borderId="44" applyBorder="1" fontId="5" applyFont="1" fillId="0" applyAlignment="1">
      <alignment horizontal="center"/>
    </xf>
    <xf xfId="0" numFmtId="3" applyNumberFormat="1" borderId="14" applyBorder="1" fontId="5" applyFont="1" fillId="0" applyAlignment="1">
      <alignment horizontal="center"/>
    </xf>
    <xf xfId="0" numFmtId="3" applyNumberFormat="1" borderId="3" applyBorder="1" fontId="5" applyFont="1" fillId="0" applyAlignment="1">
      <alignment horizontal="center"/>
    </xf>
    <xf xfId="0" numFmtId="4" applyNumberFormat="1" borderId="5" applyBorder="1" fontId="5" applyFont="1" fillId="0" applyAlignment="1">
      <alignment horizontal="center"/>
    </xf>
    <xf xfId="0" numFmtId="3" applyNumberFormat="1" borderId="45" applyBorder="1" fontId="5" applyFont="1" fillId="0" applyAlignment="1">
      <alignment horizontal="center"/>
    </xf>
    <xf xfId="0" numFmtId="0" borderId="45" applyBorder="1" fontId="5" applyFont="1" fillId="0" applyAlignment="1">
      <alignment horizontal="center"/>
    </xf>
    <xf xfId="0" numFmtId="4" applyNumberFormat="1" borderId="43" applyBorder="1" fontId="5" applyFont="1" fillId="0" applyAlignment="1">
      <alignment horizontal="center"/>
    </xf>
    <xf xfId="0" numFmtId="3" applyNumberFormat="1" borderId="15" applyBorder="1" fontId="5" applyFont="1" fillId="0" applyAlignment="1">
      <alignment horizontal="center"/>
    </xf>
    <xf xfId="0" numFmtId="3" applyNumberFormat="1" borderId="43" applyBorder="1" fontId="10" applyFont="1" fillId="2" applyFill="1" applyAlignment="1">
      <alignment horizontal="center"/>
    </xf>
    <xf xfId="0" numFmtId="3" applyNumberFormat="1" borderId="44" applyBorder="1" fontId="10" applyFont="1" fillId="0" applyAlignment="1">
      <alignment horizontal="center"/>
    </xf>
    <xf xfId="0" numFmtId="3" applyNumberFormat="1" borderId="46" applyBorder="1" fontId="5" applyFont="1" fillId="0" applyAlignment="1">
      <alignment horizontal="center"/>
    </xf>
    <xf xfId="0" numFmtId="4" applyNumberFormat="1" borderId="22" applyBorder="1" fontId="5" applyFont="1" fillId="0" applyAlignment="1">
      <alignment horizontal="center"/>
    </xf>
    <xf xfId="0" numFmtId="3" applyNumberFormat="1" borderId="41" applyBorder="1" fontId="5" applyFont="1" fillId="0" applyAlignment="1">
      <alignment horizontal="center"/>
    </xf>
    <xf xfId="0" numFmtId="3" applyNumberFormat="1" borderId="45" applyBorder="1" fontId="5" applyFont="1" fillId="0" applyAlignment="1">
      <alignment horizontal="center" vertical="top"/>
    </xf>
    <xf xfId="0" numFmtId="0" borderId="45" applyBorder="1" fontId="5" applyFont="1" fillId="0" applyAlignment="1">
      <alignment horizontal="left"/>
    </xf>
    <xf xfId="0" numFmtId="4" applyNumberFormat="1" borderId="43" applyBorder="1" fontId="5" applyFont="1" fillId="0" applyAlignment="1">
      <alignment horizontal="center" vertical="top"/>
    </xf>
    <xf xfId="0" numFmtId="3" applyNumberFormat="1" borderId="26" applyBorder="1" fontId="5" applyFont="1" fillId="0" applyAlignment="1">
      <alignment horizontal="center" vertical="top"/>
    </xf>
    <xf xfId="0" numFmtId="3" applyNumberFormat="1" borderId="15" applyBorder="1" fontId="5" applyFont="1" fillId="0" applyAlignment="1">
      <alignment horizontal="center" vertical="top"/>
    </xf>
    <xf xfId="0" numFmtId="3" applyNumberFormat="1" borderId="44" applyBorder="1" fontId="5" applyFont="1" fillId="0" applyAlignment="1">
      <alignment horizontal="center" vertical="top"/>
    </xf>
    <xf xfId="0" numFmtId="3" applyNumberFormat="1" borderId="43" applyBorder="1" fontId="10" applyFont="1" fillId="2" applyFill="1" applyAlignment="1">
      <alignment horizontal="center" vertical="top"/>
    </xf>
    <xf xfId="0" numFmtId="3" applyNumberFormat="1" borderId="44" applyBorder="1" fontId="10" applyFont="1" fillId="0" applyAlignment="1">
      <alignment horizontal="center" vertical="top"/>
    </xf>
    <xf xfId="0" numFmtId="3" applyNumberFormat="1" borderId="0" fontId="0" fillId="0" applyAlignment="1">
      <alignment horizontal="center"/>
    </xf>
    <xf xfId="0" numFmtId="4" applyNumberFormat="1" borderId="45" applyBorder="1" fontId="5" applyFont="1" fillId="0" applyAlignment="1">
      <alignment horizontal="center"/>
    </xf>
    <xf xfId="0" numFmtId="4" applyNumberFormat="1" borderId="28" applyBorder="1" fontId="5" applyFont="1" fillId="0" applyAlignment="1">
      <alignment horizontal="center"/>
    </xf>
    <xf xfId="0" numFmtId="4" applyNumberFormat="1" borderId="15" applyBorder="1" fontId="5" applyFont="1" fillId="0" applyAlignment="1">
      <alignment horizontal="center"/>
    </xf>
    <xf xfId="0" numFmtId="4" applyNumberFormat="1" borderId="44" applyBorder="1" fontId="5" applyFont="1" fillId="0" applyAlignment="1">
      <alignment horizontal="center"/>
    </xf>
    <xf xfId="0" numFmtId="3" applyNumberFormat="1" borderId="36" applyBorder="1" fontId="5" applyFont="1" fillId="0" applyAlignment="1">
      <alignment horizontal="left"/>
    </xf>
    <xf xfId="0" numFmtId="3" applyNumberFormat="1" borderId="38" applyBorder="1" fontId="5" applyFont="1" fillId="0" applyAlignment="1">
      <alignment horizontal="left"/>
    </xf>
    <xf xfId="0" numFmtId="3" applyNumberFormat="1" borderId="47" applyBorder="1" fontId="5" applyFont="1" fillId="0" applyAlignment="1">
      <alignment horizontal="center"/>
    </xf>
    <xf xfId="0" numFmtId="0" borderId="19" applyBorder="1" fontId="5" applyFont="1" fillId="0" applyAlignment="1">
      <alignment horizontal="center"/>
    </xf>
    <xf xfId="0" numFmtId="4" applyNumberFormat="1" borderId="41" applyBorder="1" fontId="5" applyFont="1" fillId="0" applyAlignment="1">
      <alignment horizontal="center"/>
    </xf>
    <xf xfId="0" numFmtId="4" applyNumberFormat="1" borderId="48" applyBorder="1" fontId="5" applyFont="1" fillId="0" applyAlignment="1">
      <alignment horizontal="center"/>
    </xf>
    <xf xfId="0" numFmtId="0" borderId="38" applyBorder="1" fontId="5" applyFont="1" fillId="0" applyAlignment="1">
      <alignment horizontal="center"/>
    </xf>
    <xf xfId="0" numFmtId="4" applyNumberFormat="1" borderId="32" applyBorder="1" fontId="8" applyFont="1" fillId="0" applyAlignment="1">
      <alignment horizontal="center"/>
    </xf>
    <xf xfId="0" numFmtId="0" borderId="33" applyBorder="1" fontId="8" applyFont="1" fillId="0" applyAlignment="1">
      <alignment horizontal="center"/>
    </xf>
    <xf xfId="0" numFmtId="4" applyNumberFormat="1" borderId="33" applyBorder="1" fontId="8" applyFont="1" fillId="0" applyAlignment="1">
      <alignment horizontal="center"/>
    </xf>
    <xf xfId="0" numFmtId="4" applyNumberFormat="1" borderId="42" applyBorder="1" fontId="8" applyFont="1" fillId="0" applyAlignment="1">
      <alignment horizontal="right"/>
    </xf>
    <xf xfId="0" numFmtId="3" applyNumberFormat="1" borderId="41" applyBorder="1" fontId="11" applyFont="1" fillId="0" applyAlignment="1">
      <alignment horizontal="center"/>
    </xf>
    <xf xfId="0" numFmtId="3" applyNumberFormat="1" borderId="33" applyBorder="1" fontId="11" applyFont="1" fillId="0" applyAlignment="1">
      <alignment horizontal="center"/>
    </xf>
    <xf xfId="0" numFmtId="3" applyNumberFormat="1" borderId="42" applyBorder="1" fontId="11" applyFont="1" fillId="0" applyAlignment="1">
      <alignment horizontal="center"/>
    </xf>
    <xf xfId="0" numFmtId="3" applyNumberFormat="1" borderId="15" applyBorder="1" fontId="5" applyFont="1" fillId="3" applyFill="1" applyAlignment="1">
      <alignment horizontal="center"/>
    </xf>
    <xf xfId="0" numFmtId="3" applyNumberFormat="1" borderId="49" applyBorder="1" fontId="5" applyFont="1" fillId="3" applyFill="1" applyAlignment="1">
      <alignment horizontal="center"/>
    </xf>
    <xf xfId="0" numFmtId="4" applyNumberFormat="1" borderId="11" applyBorder="1" fontId="8" applyFont="1" fillId="0" applyAlignment="1">
      <alignment horizontal="center"/>
    </xf>
    <xf xfId="0" numFmtId="3" applyNumberFormat="1" borderId="37" applyBorder="1" fontId="5" applyFont="1" fillId="0" applyAlignment="1">
      <alignment horizontal="left"/>
    </xf>
    <xf xfId="0" numFmtId="0" borderId="43" applyBorder="1" fontId="5" applyFont="1" fillId="0" applyAlignment="1">
      <alignment horizontal="center"/>
    </xf>
    <xf xfId="0" numFmtId="3" applyNumberFormat="1" borderId="11" applyBorder="1" fontId="12" applyFont="1" fillId="0" applyAlignment="1">
      <alignment horizontal="center"/>
    </xf>
    <xf xfId="0" numFmtId="3" applyNumberFormat="1" borderId="44" applyBorder="1" fontId="5" applyFont="1" fillId="0" applyAlignment="1">
      <alignment horizontal="left"/>
    </xf>
    <xf xfId="0" numFmtId="3" applyNumberFormat="1" borderId="15" applyBorder="1" fontId="5" applyFont="1" fillId="0" applyAlignment="1">
      <alignment horizontal="left"/>
    </xf>
    <xf xfId="0" numFmtId="14" applyNumberFormat="1" borderId="44" applyBorder="1" fontId="5" applyFont="1" fillId="0" applyAlignment="1">
      <alignment horizontal="center"/>
    </xf>
    <xf xfId="0" numFmtId="4" applyNumberFormat="1" borderId="38" applyBorder="1" fontId="5" applyFont="1" fillId="0" applyAlignment="1">
      <alignment horizontal="left"/>
    </xf>
    <xf xfId="0" numFmtId="4" applyNumberFormat="1" borderId="50" applyBorder="1" fontId="5" applyFont="1" fillId="0" applyAlignment="1">
      <alignment horizontal="left"/>
    </xf>
    <xf xfId="0" numFmtId="4" applyNumberFormat="1" borderId="37" applyBorder="1" fontId="5" applyFont="1" fillId="0" applyAlignment="1">
      <alignment horizontal="left"/>
    </xf>
    <xf xfId="0" numFmtId="3" applyNumberFormat="1" borderId="15" applyBorder="1" fontId="5" applyFont="1" fillId="0" applyAlignment="1">
      <alignment horizontal="right"/>
    </xf>
    <xf xfId="0" numFmtId="3" applyNumberFormat="1" borderId="16" applyBorder="1" fontId="5" applyFont="1" fillId="0" applyAlignment="1">
      <alignment horizontal="right"/>
    </xf>
    <xf xfId="0" numFmtId="3" applyNumberFormat="1" borderId="43" applyBorder="1" fontId="5" applyFont="1" fillId="0" applyAlignment="1">
      <alignment horizontal="right"/>
    </xf>
    <xf xfId="0" numFmtId="3" applyNumberFormat="1" borderId="44" applyBorder="1" fontId="5" applyFont="1" fillId="0" applyAlignment="1">
      <alignment horizontal="right"/>
    </xf>
    <xf xfId="0" numFmtId="3" applyNumberFormat="1" borderId="51" applyBorder="1" fontId="5" applyFont="1" fillId="0" applyAlignment="1">
      <alignment horizontal="center"/>
    </xf>
    <xf xfId="0" numFmtId="4" applyNumberFormat="1" borderId="15" applyBorder="1" fontId="5" applyFont="1" fillId="0" applyAlignment="1">
      <alignment horizontal="right"/>
    </xf>
    <xf xfId="0" numFmtId="3" applyNumberFormat="1" borderId="41" applyBorder="1" fontId="5" applyFont="1" fillId="0" applyAlignment="1">
      <alignment horizontal="right"/>
    </xf>
    <xf xfId="0" numFmtId="3" applyNumberFormat="1" borderId="42" applyBorder="1" fontId="5" applyFont="1" fillId="0" applyAlignment="1">
      <alignment horizontal="right"/>
    </xf>
    <xf xfId="0" numFmtId="4" applyNumberFormat="1" borderId="15" applyBorder="1" fontId="5" applyFont="1" fillId="0" applyAlignment="1">
      <alignment horizontal="left"/>
    </xf>
    <xf xfId="0" numFmtId="4" applyNumberFormat="1" borderId="16" applyBorder="1" fontId="5" applyFont="1" fillId="0" applyAlignment="1">
      <alignment horizontal="left"/>
    </xf>
    <xf xfId="0" numFmtId="3" applyNumberFormat="1" borderId="52" applyBorder="1" fontId="5" applyFont="1" fillId="0" applyAlignment="1">
      <alignment horizontal="left"/>
    </xf>
    <xf xfId="0" numFmtId="3" applyNumberFormat="1" borderId="53" applyBorder="1" fontId="5" applyFont="1" fillId="0" applyAlignment="1">
      <alignment horizontal="right"/>
    </xf>
    <xf xfId="0" numFmtId="3" applyNumberFormat="1" borderId="43" applyBorder="1" fontId="5" applyFont="1" fillId="0" applyAlignment="1">
      <alignment horizontal="left"/>
    </xf>
    <xf xfId="0" numFmtId="14" applyNumberFormat="1" borderId="51" applyBorder="1" fontId="5" applyFont="1" fillId="0" applyAlignment="1">
      <alignment horizontal="center"/>
    </xf>
    <xf xfId="0" numFmtId="4" applyNumberFormat="1" borderId="16" applyBorder="1" fontId="5" applyFont="1" fillId="0" applyAlignment="1">
      <alignment horizontal="right"/>
    </xf>
    <xf xfId="0" numFmtId="3" applyNumberFormat="1" borderId="41" applyBorder="1" fontId="5" applyFont="1" fillId="0" applyAlignment="1">
      <alignment horizontal="left"/>
    </xf>
    <xf xfId="0" numFmtId="14" applyNumberFormat="1" borderId="15" applyBorder="1" fontId="5" applyFont="1" fillId="0" applyAlignment="1">
      <alignment horizontal="center"/>
    </xf>
    <xf xfId="0" numFmtId="3" applyNumberFormat="1" borderId="33" applyBorder="1" fontId="5" applyFont="1" fillId="0" applyAlignment="1">
      <alignment horizontal="right"/>
    </xf>
    <xf xfId="0" numFmtId="4" applyNumberFormat="1" borderId="33" applyBorder="1" fontId="5" applyFont="1" fillId="0" applyAlignment="1">
      <alignment horizontal="left"/>
    </xf>
    <xf xfId="0" numFmtId="14" applyNumberFormat="1" borderId="15" applyBorder="1" fontId="5" applyFont="1" fillId="0" applyAlignment="1">
      <alignment horizontal="left"/>
    </xf>
    <xf xfId="0" numFmtId="3" applyNumberFormat="1" borderId="26" applyBorder="1" fontId="5" applyFont="1" fillId="0" applyAlignment="1">
      <alignment horizontal="center"/>
    </xf>
    <xf xfId="0" numFmtId="4" applyNumberFormat="1" borderId="54" applyBorder="1" fontId="5" applyFont="1" fillId="0" applyAlignment="1">
      <alignment horizontal="right"/>
    </xf>
    <xf xfId="0" numFmtId="14" applyNumberFormat="1" borderId="26" applyBorder="1" fontId="5" applyFont="1" fillId="0" applyAlignment="1">
      <alignment horizontal="left"/>
    </xf>
    <xf xfId="0" numFmtId="4" applyNumberFormat="1" borderId="55" applyBorder="1" fontId="5" applyFont="1" fillId="0" applyAlignment="1">
      <alignment horizontal="center"/>
    </xf>
    <xf xfId="0" numFmtId="4" applyNumberFormat="1" borderId="33" applyBorder="1" fontId="5" applyFont="1" fillId="0" applyAlignment="1">
      <alignment horizontal="right"/>
    </xf>
    <xf xfId="0" numFmtId="4" applyNumberFormat="1" borderId="42" applyBorder="1" fontId="5" applyFont="1" fillId="0" applyAlignment="1">
      <alignment horizontal="left"/>
    </xf>
    <xf xfId="0" numFmtId="3" applyNumberFormat="1" borderId="56" applyBorder="1" fontId="5" applyFont="1" fillId="0" applyAlignment="1">
      <alignment horizontal="center"/>
    </xf>
    <xf xfId="0" numFmtId="14" applyNumberFormat="1" borderId="11" applyBorder="1" fontId="5" applyFont="1" fillId="0" applyAlignment="1">
      <alignment horizontal="center"/>
    </xf>
    <xf xfId="0" numFmtId="4" applyNumberFormat="1" borderId="42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4" applyNumberFormat="1" borderId="22" applyBorder="1" fontId="5" applyFont="1" fillId="0" applyAlignment="1">
      <alignment horizontal="right"/>
    </xf>
    <xf xfId="0" numFmtId="0" borderId="57" applyBorder="1" fontId="5" applyFont="1" fillId="0" applyAlignment="1">
      <alignment horizontal="center"/>
    </xf>
    <xf xfId="0" numFmtId="4" applyNumberFormat="1" borderId="57" applyBorder="1" fontId="5" applyFont="1" fillId="0" applyAlignment="1">
      <alignment horizontal="left"/>
    </xf>
    <xf xfId="0" numFmtId="4" applyNumberFormat="1" borderId="58" applyBorder="1" fontId="12" applyFont="1" fillId="0" applyAlignment="1">
      <alignment horizontal="center"/>
    </xf>
    <xf xfId="0" numFmtId="4" applyNumberFormat="1" borderId="12" applyBorder="1" fontId="5" applyFont="1" fillId="0" applyAlignment="1">
      <alignment horizontal="left"/>
    </xf>
    <xf xfId="0" numFmtId="4" applyNumberFormat="1" borderId="25" applyBorder="1" fontId="5" applyFont="1" fillId="0" applyAlignment="1">
      <alignment horizontal="left"/>
    </xf>
    <xf xfId="0" numFmtId="4" applyNumberFormat="1" borderId="39" applyBorder="1" fontId="5" applyFont="1" fillId="0" applyAlignment="1">
      <alignment horizontal="right"/>
    </xf>
    <xf xfId="0" numFmtId="4" applyNumberFormat="1" borderId="46" applyBorder="1" fontId="5" applyFont="1" fillId="0" applyAlignment="1">
      <alignment horizontal="right"/>
    </xf>
    <xf xfId="0" numFmtId="4" applyNumberFormat="1" borderId="11" applyBorder="1" fontId="7" applyFont="1" fillId="0" applyAlignment="1">
      <alignment horizontal="left"/>
    </xf>
    <xf xfId="0" numFmtId="0" borderId="11" applyBorder="1" fontId="13" applyFont="1" fillId="0" applyAlignment="1">
      <alignment horizontal="center"/>
    </xf>
    <xf xfId="0" numFmtId="0" borderId="11" applyBorder="1" fontId="7" applyFont="1" fillId="0" applyAlignment="1">
      <alignment horizontal="center"/>
    </xf>
    <xf xfId="0" numFmtId="0" borderId="11" applyBorder="1" fontId="14" applyFont="1" fillId="0" applyAlignment="1">
      <alignment horizontal="center"/>
    </xf>
    <xf xfId="0" numFmtId="17" applyNumberFormat="1" borderId="11" applyBorder="1" fontId="5" applyFont="1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87"/>
  <sheetViews>
    <sheetView workbookViewId="0" tabSelected="1"/>
  </sheetViews>
  <sheetFormatPr defaultRowHeight="15" x14ac:dyDescent="0.25"/>
  <cols>
    <col min="1" max="1" style="92" width="17.719285714285714" customWidth="1" bestFit="1"/>
    <col min="2" max="2" style="92" width="12.290714285714287" customWidth="1" bestFit="1"/>
    <col min="3" max="3" style="92" width="11.147857142857141" customWidth="1" bestFit="1"/>
    <col min="4" max="4" style="241" width="9.576428571428572" customWidth="1" bestFit="1"/>
    <col min="5" max="5" style="92" width="11.43357142857143" customWidth="1" bestFit="1"/>
    <col min="6" max="6" style="92" width="13.147857142857141" customWidth="1" bestFit="1"/>
    <col min="7" max="7" style="114" width="12.862142857142858" customWidth="1" bestFit="1"/>
    <col min="8" max="8" style="114" width="12.147857142857141" customWidth="1" bestFit="1"/>
    <col min="9" max="9" style="91" width="38.86214285714286" customWidth="1" bestFit="1"/>
    <col min="10" max="10" style="114" width="9.43357142857143" customWidth="1" bestFit="1"/>
    <col min="11" max="11" style="114" width="13.576428571428572" customWidth="1" bestFit="1"/>
    <col min="12" max="12" style="114" width="12.290714285714287" customWidth="1" bestFit="1"/>
    <col min="13" max="13" style="114" width="9.862142857142858" customWidth="1" bestFit="1"/>
    <col min="14" max="14" style="92" width="13.576428571428572" customWidth="1" bestFit="1"/>
    <col min="15" max="15" style="114" width="13.576428571428572" customWidth="1" bestFit="1"/>
    <col min="16" max="16" style="92" width="13.576428571428572" customWidth="1" bestFit="1"/>
    <col min="17" max="17" style="92" width="13.576428571428572" customWidth="1" bestFit="1"/>
    <col min="18" max="18" style="92" width="13.576428571428572" customWidth="1" bestFit="1"/>
  </cols>
  <sheetData>
    <row x14ac:dyDescent="0.25" r="1" customHeight="1" ht="23.25">
      <c r="A1" s="115">
        <v>1</v>
      </c>
      <c r="B1" s="116"/>
      <c r="C1" s="116"/>
      <c r="D1" s="116"/>
      <c r="E1" s="117"/>
      <c r="F1" s="118"/>
      <c r="G1" s="119"/>
      <c r="H1" s="96" t="s">
        <v>119</v>
      </c>
      <c r="I1" s="95"/>
      <c r="J1" s="96"/>
      <c r="K1" s="96"/>
      <c r="L1" s="96"/>
      <c r="M1" s="96"/>
      <c r="N1" s="40"/>
      <c r="O1" s="96"/>
      <c r="P1" s="40"/>
      <c r="Q1" s="40"/>
      <c r="R1" s="22"/>
    </row>
    <row x14ac:dyDescent="0.25" r="2" customHeight="1" ht="45.75">
      <c r="A2" s="120" t="s">
        <v>120</v>
      </c>
      <c r="B2" s="121">
        <v>98</v>
      </c>
      <c r="C2" s="122" t="s">
        <v>121</v>
      </c>
      <c r="D2" s="123" t="s">
        <v>122</v>
      </c>
      <c r="E2" s="124" t="s">
        <v>123</v>
      </c>
      <c r="F2" s="125" t="s">
        <v>124</v>
      </c>
      <c r="G2" s="126" t="s">
        <v>125</v>
      </c>
      <c r="H2" s="127" t="s">
        <v>126</v>
      </c>
      <c r="I2" s="128" t="s">
        <v>41</v>
      </c>
      <c r="J2" s="129" t="s">
        <v>42</v>
      </c>
      <c r="K2" s="129" t="s">
        <v>43</v>
      </c>
      <c r="L2" s="129" t="s">
        <v>44</v>
      </c>
      <c r="M2" s="129" t="s">
        <v>45</v>
      </c>
      <c r="N2" s="130" t="s">
        <v>127</v>
      </c>
      <c r="O2" s="129" t="s">
        <v>44</v>
      </c>
      <c r="P2" s="123" t="s">
        <v>45</v>
      </c>
      <c r="Q2" s="40"/>
      <c r="R2" s="22"/>
    </row>
    <row x14ac:dyDescent="0.25" r="3" customHeight="1" ht="19.5">
      <c r="A3" s="22"/>
      <c r="B3" s="22"/>
      <c r="C3" s="131"/>
      <c r="D3" s="132"/>
      <c r="E3" s="133">
        <f>[2]ورقة1!$H$49</f>
      </c>
      <c r="F3" s="134">
        <v>60</v>
      </c>
      <c r="G3" s="135">
        <f>G5/F3*1.05</f>
      </c>
      <c r="H3" s="133"/>
      <c r="I3" s="136"/>
      <c r="J3" s="119"/>
      <c r="K3" s="119" t="s">
        <v>51</v>
      </c>
      <c r="L3" s="119"/>
      <c r="M3" s="119"/>
      <c r="N3" s="137" t="s">
        <v>128</v>
      </c>
      <c r="O3" s="119"/>
      <c r="P3" s="138"/>
      <c r="Q3" s="40"/>
      <c r="R3" s="22"/>
    </row>
    <row x14ac:dyDescent="0.25" r="4" customHeight="1" ht="19.5">
      <c r="A4" s="40"/>
      <c r="B4" s="40"/>
      <c r="C4" s="22"/>
      <c r="D4" s="40"/>
      <c r="E4" s="96">
        <f>N11*E3</f>
      </c>
      <c r="F4" s="40"/>
      <c r="G4" s="110"/>
      <c r="H4" s="125">
        <v>1</v>
      </c>
      <c r="I4" s="139" t="s">
        <v>55</v>
      </c>
      <c r="J4" s="140" t="s">
        <v>8</v>
      </c>
      <c r="K4" s="141">
        <v>10200</v>
      </c>
      <c r="L4" s="141">
        <v>30</v>
      </c>
      <c r="M4" s="123">
        <f>(K4*L4)</f>
      </c>
      <c r="N4" s="142">
        <v>8260</v>
      </c>
      <c r="O4" s="141">
        <v>30</v>
      </c>
      <c r="P4" s="143">
        <f>(N4*O4)</f>
      </c>
      <c r="Q4" s="40"/>
      <c r="R4" s="22"/>
    </row>
    <row x14ac:dyDescent="0.25" r="5" customHeight="1" ht="19.5">
      <c r="A5" s="144" t="s">
        <v>129</v>
      </c>
      <c r="B5" s="145">
        <f>CEILING(M12*SUM(O47,1),100)</f>
      </c>
      <c r="C5" s="22"/>
      <c r="D5" s="40"/>
      <c r="E5" s="146"/>
      <c r="F5" s="147" t="s">
        <v>130</v>
      </c>
      <c r="G5" s="148">
        <f>G6*B6</f>
      </c>
      <c r="H5" s="149">
        <v>2</v>
      </c>
      <c r="I5" s="150" t="s">
        <v>59</v>
      </c>
      <c r="J5" s="151" t="s">
        <v>11</v>
      </c>
      <c r="K5" s="152">
        <v>38000</v>
      </c>
      <c r="L5" s="152">
        <v>4</v>
      </c>
      <c r="M5" s="145">
        <f>(K5*L5)</f>
      </c>
      <c r="N5" s="153">
        <v>95000</v>
      </c>
      <c r="O5" s="152">
        <v>4</v>
      </c>
      <c r="P5" s="154">
        <f>(N5*O5)</f>
      </c>
      <c r="Q5" s="40"/>
      <c r="R5" s="22"/>
    </row>
    <row x14ac:dyDescent="0.25" r="6" customHeight="1" ht="19.5">
      <c r="A6" s="144" t="s">
        <v>131</v>
      </c>
      <c r="B6" s="154">
        <f>CEILING(N12*SUM(O47,1),100)</f>
      </c>
      <c r="C6" s="22"/>
      <c r="D6" s="40"/>
      <c r="E6" s="22"/>
      <c r="F6" s="155" t="s">
        <v>132</v>
      </c>
      <c r="G6" s="156">
        <f>B2-H50</f>
      </c>
      <c r="H6" s="149">
        <v>3</v>
      </c>
      <c r="I6" s="150" t="s">
        <v>64</v>
      </c>
      <c r="J6" s="151" t="s">
        <v>15</v>
      </c>
      <c r="K6" s="152">
        <v>1950</v>
      </c>
      <c r="L6" s="152">
        <v>50</v>
      </c>
      <c r="M6" s="145">
        <f>(K6*L6)</f>
      </c>
      <c r="N6" s="153">
        <v>3800</v>
      </c>
      <c r="O6" s="152">
        <v>50</v>
      </c>
      <c r="P6" s="154">
        <f>(N6*O6)</f>
      </c>
      <c r="Q6" s="40"/>
      <c r="R6" s="22"/>
    </row>
    <row x14ac:dyDescent="0.25" r="7" customHeight="1" ht="19.5">
      <c r="A7" s="157" t="s">
        <v>133</v>
      </c>
      <c r="B7" s="138">
        <f>CEILING(B2*B5,100)</f>
      </c>
      <c r="C7" s="22"/>
      <c r="D7" s="40"/>
      <c r="E7" s="22"/>
      <c r="F7" s="40"/>
      <c r="G7" s="110"/>
      <c r="H7" s="158">
        <v>4</v>
      </c>
      <c r="I7" s="159" t="s">
        <v>69</v>
      </c>
      <c r="J7" s="160" t="s">
        <v>19</v>
      </c>
      <c r="K7" s="161">
        <v>60000</v>
      </c>
      <c r="L7" s="162">
        <v>1</v>
      </c>
      <c r="M7" s="163">
        <f>(K7*L7)</f>
      </c>
      <c r="N7" s="164">
        <v>190000</v>
      </c>
      <c r="O7" s="162">
        <v>1</v>
      </c>
      <c r="P7" s="165">
        <f>(N7*O7)</f>
      </c>
      <c r="Q7" s="40"/>
      <c r="R7" s="22"/>
    </row>
    <row x14ac:dyDescent="0.25" r="8" customHeight="1" ht="19.5">
      <c r="A8" s="22"/>
      <c r="B8" s="22"/>
      <c r="C8" s="22"/>
      <c r="D8" s="166"/>
      <c r="E8" s="22"/>
      <c r="F8" s="40"/>
      <c r="G8" s="110"/>
      <c r="H8" s="167"/>
      <c r="I8" s="159" t="s">
        <v>74</v>
      </c>
      <c r="J8" s="151"/>
      <c r="K8" s="168"/>
      <c r="L8" s="169"/>
      <c r="M8" s="170"/>
      <c r="N8" s="153"/>
      <c r="O8" s="169"/>
      <c r="P8" s="154"/>
      <c r="Q8" s="40"/>
      <c r="R8" s="22"/>
    </row>
    <row x14ac:dyDescent="0.25" r="9" customHeight="1" ht="18.75">
      <c r="A9" s="171"/>
      <c r="B9" s="172" t="s">
        <v>134</v>
      </c>
      <c r="C9" s="141" t="s">
        <v>135</v>
      </c>
      <c r="D9" s="172" t="s">
        <v>136</v>
      </c>
      <c r="E9" s="123" t="s">
        <v>137</v>
      </c>
      <c r="F9" s="40"/>
      <c r="G9" s="127" t="s">
        <v>138</v>
      </c>
      <c r="H9" s="173">
        <v>5</v>
      </c>
      <c r="I9" s="150" t="s">
        <v>78</v>
      </c>
      <c r="J9" s="151" t="s">
        <v>19</v>
      </c>
      <c r="K9" s="152">
        <v>120000</v>
      </c>
      <c r="L9" s="152">
        <v>2</v>
      </c>
      <c r="M9" s="145">
        <f>(K9*L9)</f>
      </c>
      <c r="N9" s="153">
        <v>253000</v>
      </c>
      <c r="O9" s="152">
        <v>2</v>
      </c>
      <c r="P9" s="154">
        <f>(N9*O9)</f>
      </c>
      <c r="Q9" s="40"/>
      <c r="R9" s="22"/>
    </row>
    <row x14ac:dyDescent="0.25" r="10" customHeight="1" ht="19.5">
      <c r="A10" s="144" t="s">
        <v>139</v>
      </c>
      <c r="B10" s="152">
        <v>1096900</v>
      </c>
      <c r="C10" s="152">
        <v>19587354</v>
      </c>
      <c r="D10" s="152"/>
      <c r="E10" s="145" t="s">
        <v>140</v>
      </c>
      <c r="F10" s="40"/>
      <c r="G10" s="167">
        <f>C10/B10</f>
      </c>
      <c r="H10" s="132">
        <v>6</v>
      </c>
      <c r="I10" s="174" t="s">
        <v>141</v>
      </c>
      <c r="J10" s="175" t="s">
        <v>25</v>
      </c>
      <c r="K10" s="137">
        <v>30000</v>
      </c>
      <c r="L10" s="137">
        <v>1</v>
      </c>
      <c r="M10" s="138">
        <f>(K10*L10)</f>
      </c>
      <c r="N10" s="153">
        <v>60000</v>
      </c>
      <c r="O10" s="152">
        <v>1</v>
      </c>
      <c r="P10" s="154">
        <f>(N10*O10)</f>
      </c>
      <c r="Q10" s="40"/>
      <c r="R10" s="22"/>
    </row>
    <row x14ac:dyDescent="0.25" r="11" customHeight="1" ht="18.75">
      <c r="A11" s="144" t="s">
        <v>142</v>
      </c>
      <c r="B11" s="152">
        <v>1141400</v>
      </c>
      <c r="C11" s="152">
        <v>11000000</v>
      </c>
      <c r="D11" s="152"/>
      <c r="E11" s="145" t="s">
        <v>143</v>
      </c>
      <c r="F11" s="40"/>
      <c r="G11" s="167">
        <f>C11/B11</f>
      </c>
      <c r="H11" s="176" t="s">
        <v>144</v>
      </c>
      <c r="I11" s="177"/>
      <c r="J11" s="129"/>
      <c r="K11" s="129"/>
      <c r="L11" s="129"/>
      <c r="M11" s="123">
        <f>SUM(M4:M10)</f>
      </c>
      <c r="N11" s="144">
        <f>SUM(P4:P10)</f>
      </c>
      <c r="O11" s="152"/>
      <c r="P11" s="145"/>
      <c r="Q11" s="40"/>
      <c r="R11" s="22"/>
    </row>
    <row x14ac:dyDescent="0.25" r="12" customHeight="1" ht="20.25">
      <c r="A12" s="144" t="s">
        <v>145</v>
      </c>
      <c r="B12" s="152">
        <v>1677100</v>
      </c>
      <c r="C12" s="152">
        <v>5000000</v>
      </c>
      <c r="D12" s="152"/>
      <c r="E12" s="145" t="s">
        <v>146</v>
      </c>
      <c r="F12" s="40"/>
      <c r="G12" s="167">
        <f>C12/B12</f>
      </c>
      <c r="H12" s="178" t="s">
        <v>147</v>
      </c>
      <c r="I12" s="179"/>
      <c r="J12" s="180"/>
      <c r="K12" s="180"/>
      <c r="L12" s="180"/>
      <c r="M12" s="181">
        <f>(M11*1.125)</f>
      </c>
      <c r="N12" s="182">
        <f>(N11*1.125)</f>
      </c>
      <c r="O12" s="183"/>
      <c r="P12" s="184"/>
      <c r="Q12" s="40"/>
      <c r="R12" s="22"/>
    </row>
    <row x14ac:dyDescent="0.25" r="13" customHeight="1" ht="20.25">
      <c r="A13" s="144" t="s">
        <v>148</v>
      </c>
      <c r="B13" s="185">
        <v>1861700</v>
      </c>
      <c r="C13" s="185">
        <v>5000000</v>
      </c>
      <c r="D13" s="152"/>
      <c r="E13" s="145" t="s">
        <v>149</v>
      </c>
      <c r="F13" s="186"/>
      <c r="G13" s="167">
        <f>C13/B13</f>
      </c>
      <c r="H13" s="187"/>
      <c r="I13" s="106"/>
      <c r="J13" s="187"/>
      <c r="K13" s="187"/>
      <c r="L13" s="187"/>
      <c r="M13" s="187"/>
      <c r="N13" s="105"/>
      <c r="O13" s="187"/>
      <c r="P13" s="105"/>
      <c r="Q13" s="40"/>
      <c r="R13" s="22"/>
    </row>
    <row x14ac:dyDescent="0.25" r="14" customHeight="1" ht="18.75">
      <c r="A14" s="144" t="s">
        <v>150</v>
      </c>
      <c r="B14" s="152">
        <v>1902600</v>
      </c>
      <c r="C14" s="152">
        <v>5000000</v>
      </c>
      <c r="D14" s="152"/>
      <c r="E14" s="145" t="s">
        <v>151</v>
      </c>
      <c r="F14" s="40"/>
      <c r="G14" s="167">
        <f>C14/B14</f>
      </c>
      <c r="H14" s="110"/>
      <c r="I14" s="9"/>
      <c r="J14" s="110"/>
      <c r="K14" s="110"/>
      <c r="L14" s="110"/>
      <c r="M14" s="110"/>
      <c r="N14" s="22"/>
      <c r="O14" s="110"/>
      <c r="P14" s="22"/>
      <c r="Q14" s="22"/>
      <c r="R14" s="22"/>
    </row>
    <row x14ac:dyDescent="0.25" r="15" customHeight="1" ht="18.75">
      <c r="A15" s="144" t="s">
        <v>152</v>
      </c>
      <c r="B15" s="152">
        <v>1939700</v>
      </c>
      <c r="C15" s="152">
        <v>4000000</v>
      </c>
      <c r="D15" s="152"/>
      <c r="E15" s="145" t="s">
        <v>153</v>
      </c>
      <c r="F15" s="40"/>
      <c r="G15" s="167">
        <f>C15/B15</f>
      </c>
      <c r="H15" s="110"/>
      <c r="I15" s="128"/>
      <c r="J15" s="129"/>
      <c r="K15" s="129"/>
      <c r="L15" s="129"/>
      <c r="M15" s="129"/>
      <c r="N15" s="141"/>
      <c r="O15" s="141">
        <v>0</v>
      </c>
      <c r="P15" s="172"/>
      <c r="Q15" s="188"/>
      <c r="R15" s="22"/>
    </row>
    <row x14ac:dyDescent="0.25" r="16" customHeight="1" ht="18.75">
      <c r="A16" s="144" t="s">
        <v>154</v>
      </c>
      <c r="B16" s="152">
        <v>1958300</v>
      </c>
      <c r="C16" s="152">
        <v>5000000</v>
      </c>
      <c r="D16" s="152"/>
      <c r="E16" s="145" t="s">
        <v>155</v>
      </c>
      <c r="F16" s="22"/>
      <c r="G16" s="167">
        <f>C16/B16</f>
      </c>
      <c r="H16" s="110"/>
      <c r="I16" s="189" t="s">
        <v>115</v>
      </c>
      <c r="J16" s="152">
        <v>-3</v>
      </c>
      <c r="K16" s="152">
        <v>-2</v>
      </c>
      <c r="L16" s="152">
        <v>-1</v>
      </c>
      <c r="M16" s="152">
        <v>0</v>
      </c>
      <c r="N16" s="152">
        <v>1</v>
      </c>
      <c r="O16" s="152">
        <v>2</v>
      </c>
      <c r="P16" s="152">
        <v>3</v>
      </c>
      <c r="Q16" s="145">
        <v>4</v>
      </c>
      <c r="R16" s="22"/>
    </row>
    <row x14ac:dyDescent="0.25" r="17" customHeight="1" ht="18.75">
      <c r="A17" s="144" t="s">
        <v>156</v>
      </c>
      <c r="B17" s="152">
        <v>1959100</v>
      </c>
      <c r="C17" s="152">
        <v>5000000</v>
      </c>
      <c r="D17" s="152"/>
      <c r="E17" s="145" t="s">
        <v>157</v>
      </c>
      <c r="F17" s="190"/>
      <c r="G17" s="167">
        <f>C17/B17</f>
      </c>
      <c r="H17" s="110"/>
      <c r="I17" s="189" t="s">
        <v>158</v>
      </c>
      <c r="J17" s="152">
        <v>0</v>
      </c>
      <c r="K17" s="152">
        <v>0</v>
      </c>
      <c r="L17" s="152">
        <v>0</v>
      </c>
      <c r="M17" s="152">
        <v>0</v>
      </c>
      <c r="N17" s="152">
        <v>0</v>
      </c>
      <c r="O17" s="152">
        <v>0</v>
      </c>
      <c r="P17" s="152">
        <v>1</v>
      </c>
      <c r="Q17" s="145">
        <v>0</v>
      </c>
      <c r="R17" s="22"/>
    </row>
    <row x14ac:dyDescent="0.25" r="18" customHeight="1" ht="19.5">
      <c r="A18" s="144" t="s">
        <v>159</v>
      </c>
      <c r="B18" s="152">
        <v>1952100</v>
      </c>
      <c r="C18" s="152">
        <v>5000000</v>
      </c>
      <c r="D18" s="152"/>
      <c r="E18" s="145" t="s">
        <v>160</v>
      </c>
      <c r="F18" s="40"/>
      <c r="G18" s="167">
        <f>C18/B18</f>
      </c>
      <c r="H18" s="110"/>
      <c r="I18" s="136" t="s">
        <v>161</v>
      </c>
      <c r="J18" s="137">
        <f>0.12*J17</f>
      </c>
      <c r="K18" s="137">
        <f>0.06*K17</f>
      </c>
      <c r="L18" s="137">
        <f>0.03*L17</f>
      </c>
      <c r="M18" s="137">
        <f>0.15*M17</f>
      </c>
      <c r="N18" s="137">
        <f>0.12*N17</f>
      </c>
      <c r="O18" s="137">
        <f>0.06*O17</f>
      </c>
      <c r="P18" s="119">
        <f>0.015*P17</f>
      </c>
      <c r="Q18" s="138">
        <f>0.007*Q17</f>
      </c>
      <c r="R18" s="22"/>
    </row>
    <row x14ac:dyDescent="0.25" r="19" customHeight="1" ht="19.5">
      <c r="A19" s="144" t="s">
        <v>162</v>
      </c>
      <c r="B19" s="152">
        <v>1915000</v>
      </c>
      <c r="C19" s="152">
        <v>5000000</v>
      </c>
      <c r="D19" s="152"/>
      <c r="E19" s="145" t="s">
        <v>163</v>
      </c>
      <c r="F19" s="40"/>
      <c r="G19" s="167">
        <f>C19/B19</f>
      </c>
      <c r="H19" s="110"/>
      <c r="I19" s="9"/>
      <c r="J19" s="96"/>
      <c r="K19" s="96"/>
      <c r="L19" s="96"/>
      <c r="M19" s="96"/>
      <c r="N19" s="40"/>
      <c r="O19" s="96"/>
      <c r="P19" s="22"/>
      <c r="Q19" s="22"/>
      <c r="R19" s="22"/>
    </row>
    <row x14ac:dyDescent="0.25" r="20" customHeight="1" ht="18.75">
      <c r="A20" s="144" t="s">
        <v>164</v>
      </c>
      <c r="B20" s="152">
        <v>1970700</v>
      </c>
      <c r="C20" s="152">
        <v>5000000</v>
      </c>
      <c r="D20" s="152"/>
      <c r="E20" s="145" t="s">
        <v>165</v>
      </c>
      <c r="F20" s="40"/>
      <c r="G20" s="167">
        <f>C20/B20</f>
      </c>
      <c r="H20" s="110"/>
      <c r="I20" s="9"/>
      <c r="J20" s="96"/>
      <c r="K20" s="96"/>
      <c r="L20" s="96"/>
      <c r="M20" s="96"/>
      <c r="N20" s="40"/>
      <c r="O20" s="96"/>
      <c r="P20" s="22"/>
      <c r="Q20" s="22"/>
      <c r="R20" s="22"/>
    </row>
    <row x14ac:dyDescent="0.25" r="21" customHeight="1" ht="18.75">
      <c r="A21" s="144" t="s">
        <v>166</v>
      </c>
      <c r="B21" s="152">
        <v>2046300</v>
      </c>
      <c r="C21" s="152">
        <v>5000000</v>
      </c>
      <c r="D21" s="152"/>
      <c r="E21" s="145" t="s">
        <v>167</v>
      </c>
      <c r="F21" s="40"/>
      <c r="G21" s="167">
        <f>C21/B21</f>
      </c>
      <c r="H21" s="110"/>
      <c r="I21" s="9"/>
      <c r="J21" s="96"/>
      <c r="K21" s="96"/>
      <c r="L21" s="96"/>
      <c r="M21" s="96"/>
      <c r="N21" s="40"/>
      <c r="O21" s="96"/>
      <c r="P21" s="22"/>
      <c r="Q21" s="22"/>
      <c r="R21" s="22"/>
    </row>
    <row x14ac:dyDescent="0.25" r="22" customHeight="1" ht="18.75">
      <c r="A22" s="144" t="s">
        <v>168</v>
      </c>
      <c r="B22" s="152">
        <v>2088400</v>
      </c>
      <c r="C22" s="152">
        <v>7200000</v>
      </c>
      <c r="D22" s="152"/>
      <c r="E22" s="145" t="s">
        <v>169</v>
      </c>
      <c r="F22" s="40"/>
      <c r="G22" s="167">
        <f>C22/B22</f>
      </c>
      <c r="H22" s="110"/>
      <c r="I22" s="128" t="s">
        <v>170</v>
      </c>
      <c r="J22" s="141">
        <v>0</v>
      </c>
      <c r="K22" s="129"/>
      <c r="L22" s="129"/>
      <c r="M22" s="129"/>
      <c r="N22" s="141"/>
      <c r="O22" s="129"/>
      <c r="P22" s="172"/>
      <c r="Q22" s="172"/>
      <c r="R22" s="188"/>
    </row>
    <row x14ac:dyDescent="0.25" r="23" customHeight="1" ht="18.75">
      <c r="A23" s="144" t="s">
        <v>171</v>
      </c>
      <c r="B23" s="152">
        <v>2021500</v>
      </c>
      <c r="C23" s="152">
        <v>7500000</v>
      </c>
      <c r="D23" s="152"/>
      <c r="E23" s="145" t="s">
        <v>172</v>
      </c>
      <c r="F23" s="40"/>
      <c r="G23" s="167">
        <f>C23/B23</f>
      </c>
      <c r="H23" s="110"/>
      <c r="I23" s="189" t="s">
        <v>173</v>
      </c>
      <c r="J23" s="152">
        <v>20</v>
      </c>
      <c r="K23" s="152">
        <v>40</v>
      </c>
      <c r="L23" s="152">
        <v>60</v>
      </c>
      <c r="M23" s="152">
        <v>80</v>
      </c>
      <c r="N23" s="152">
        <v>100</v>
      </c>
      <c r="O23" s="152">
        <v>120</v>
      </c>
      <c r="P23" s="152">
        <v>140</v>
      </c>
      <c r="Q23" s="152">
        <v>160</v>
      </c>
      <c r="R23" s="191"/>
    </row>
    <row x14ac:dyDescent="0.25" r="24" customHeight="1" ht="18.75">
      <c r="A24" s="144" t="s">
        <v>174</v>
      </c>
      <c r="B24" s="152">
        <v>2013700</v>
      </c>
      <c r="C24" s="152">
        <v>6000000</v>
      </c>
      <c r="D24" s="152"/>
      <c r="E24" s="145" t="s">
        <v>175</v>
      </c>
      <c r="F24" s="40"/>
      <c r="G24" s="167">
        <f>C24/B24</f>
      </c>
      <c r="H24" s="110"/>
      <c r="I24" s="189" t="s">
        <v>176</v>
      </c>
      <c r="J24" s="169"/>
      <c r="K24" s="169"/>
      <c r="L24" s="152">
        <f>((J22/SUM(J23:Q23))/M12)/(ورقة2!J7*ورقة2!L6)</f>
      </c>
      <c r="M24" s="169"/>
      <c r="N24" s="152"/>
      <c r="O24" s="169"/>
      <c r="P24" s="192"/>
      <c r="Q24" s="152"/>
      <c r="R24" s="191"/>
    </row>
    <row x14ac:dyDescent="0.25" r="25" customHeight="1" ht="19.5">
      <c r="A25" s="144" t="s">
        <v>177</v>
      </c>
      <c r="B25" s="152">
        <v>2038500</v>
      </c>
      <c r="C25" s="152">
        <v>5000000</v>
      </c>
      <c r="D25" s="152"/>
      <c r="E25" s="145" t="s">
        <v>178</v>
      </c>
      <c r="F25" s="40"/>
      <c r="G25" s="167">
        <f>C25/B25</f>
      </c>
      <c r="H25" s="110"/>
      <c r="I25" s="136" t="s">
        <v>179</v>
      </c>
      <c r="J25" s="137">
        <f>L24*1*J17*J23</f>
      </c>
      <c r="K25" s="137">
        <f>L24*2*K17*K23</f>
      </c>
      <c r="L25" s="137">
        <f>L24*3*L17*L23</f>
      </c>
      <c r="M25" s="137">
        <f>L24*4*M17*M23</f>
      </c>
      <c r="N25" s="137">
        <f>L24*5*N17*N23</f>
      </c>
      <c r="O25" s="137">
        <f>L24*6*O17*O23</f>
      </c>
      <c r="P25" s="137">
        <f>L24*7*P17*P23</f>
      </c>
      <c r="Q25" s="137">
        <f>L24*8*Q17*Q23</f>
      </c>
      <c r="R25" s="138">
        <f>SUM(J25:Q25)</f>
      </c>
    </row>
    <row x14ac:dyDescent="0.25" r="26" customHeight="1" ht="19.5">
      <c r="A26" s="144" t="s">
        <v>180</v>
      </c>
      <c r="B26" s="152">
        <v>2020200</v>
      </c>
      <c r="C26" s="152">
        <v>6780000</v>
      </c>
      <c r="D26" s="152"/>
      <c r="E26" s="145" t="s">
        <v>181</v>
      </c>
      <c r="F26" s="40"/>
      <c r="G26" s="167">
        <f>C26/B26</f>
      </c>
      <c r="H26" s="110"/>
      <c r="I26" s="9"/>
      <c r="J26" s="96"/>
      <c r="K26" s="96"/>
      <c r="L26" s="96"/>
      <c r="M26" s="96"/>
      <c r="N26" s="40"/>
      <c r="O26" s="96"/>
      <c r="P26" s="40"/>
      <c r="Q26" s="40"/>
      <c r="R26" s="22"/>
    </row>
    <row x14ac:dyDescent="0.25" r="27" customHeight="1" ht="18.75">
      <c r="A27" s="144" t="s">
        <v>182</v>
      </c>
      <c r="B27" s="152">
        <f>1909400*0.9</f>
      </c>
      <c r="C27" s="152">
        <v>6050000</v>
      </c>
      <c r="D27" s="152" t="s">
        <v>183</v>
      </c>
      <c r="E27" s="145" t="s">
        <v>184</v>
      </c>
      <c r="F27" s="22"/>
      <c r="G27" s="167">
        <f>C27/B27</f>
      </c>
      <c r="H27" s="110"/>
      <c r="I27" s="9"/>
      <c r="J27" s="110"/>
      <c r="K27" s="110"/>
      <c r="L27" s="110"/>
      <c r="M27" s="110"/>
      <c r="N27" s="22"/>
      <c r="O27" s="110"/>
      <c r="P27" s="22"/>
      <c r="Q27" s="22"/>
      <c r="R27" s="22"/>
    </row>
    <row x14ac:dyDescent="0.25" r="28" customHeight="1" ht="18.75">
      <c r="A28" s="144"/>
      <c r="B28" s="152">
        <f>B6*0.9</f>
      </c>
      <c r="C28" s="152"/>
      <c r="D28" s="152" t="s">
        <v>183</v>
      </c>
      <c r="E28" s="193"/>
      <c r="F28" s="22"/>
      <c r="G28" s="167"/>
      <c r="H28" s="110"/>
      <c r="I28" s="9"/>
      <c r="J28" s="110"/>
      <c r="K28" s="110"/>
      <c r="L28" s="110"/>
      <c r="M28" s="110"/>
      <c r="N28" s="22"/>
      <c r="O28" s="110"/>
      <c r="P28" s="22"/>
      <c r="Q28" s="22"/>
      <c r="R28" s="22"/>
    </row>
    <row x14ac:dyDescent="0.25" r="29" customHeight="1" ht="18.75">
      <c r="A29" s="144" t="s">
        <v>185</v>
      </c>
      <c r="B29" s="152">
        <f>B6*0.85</f>
      </c>
      <c r="C29" s="152">
        <v>0</v>
      </c>
      <c r="D29" s="152" t="s">
        <v>186</v>
      </c>
      <c r="E29" s="193"/>
      <c r="F29" s="22" t="s">
        <v>187</v>
      </c>
      <c r="G29" s="149">
        <f>C29/B29</f>
      </c>
      <c r="H29" s="110"/>
      <c r="I29" s="128" t="s">
        <v>188</v>
      </c>
      <c r="J29" s="194" t="s">
        <v>189</v>
      </c>
      <c r="K29" s="194" t="s">
        <v>190</v>
      </c>
      <c r="L29" s="194" t="s">
        <v>190</v>
      </c>
      <c r="M29" s="195" t="s">
        <v>191</v>
      </c>
      <c r="N29" s="171" t="s">
        <v>192</v>
      </c>
      <c r="O29" s="196" t="s">
        <v>193</v>
      </c>
      <c r="P29" s="22"/>
      <c r="Q29" s="22"/>
      <c r="R29" s="22"/>
    </row>
    <row x14ac:dyDescent="0.25" r="30" customHeight="1" ht="18.75">
      <c r="A30" s="144" t="s">
        <v>194</v>
      </c>
      <c r="B30" s="152">
        <f>B6*0.8</f>
      </c>
      <c r="C30" s="152">
        <v>0</v>
      </c>
      <c r="D30" s="152" t="s">
        <v>195</v>
      </c>
      <c r="E30" s="193"/>
      <c r="F30" s="113">
        <v>20</v>
      </c>
      <c r="G30" s="149">
        <f>C30/B30</f>
      </c>
      <c r="H30" s="110"/>
      <c r="I30" s="189"/>
      <c r="J30" s="197">
        <v>3</v>
      </c>
      <c r="K30" s="197">
        <v>0</v>
      </c>
      <c r="L30" s="197">
        <v>0</v>
      </c>
      <c r="M30" s="198">
        <v>0</v>
      </c>
      <c r="N30" s="199">
        <v>1</v>
      </c>
      <c r="O30" s="200">
        <v>1</v>
      </c>
      <c r="P30" s="22"/>
      <c r="Q30" s="22"/>
      <c r="R30" s="22"/>
    </row>
    <row x14ac:dyDescent="0.25" r="31" customHeight="1" ht="18.75">
      <c r="A31" s="144" t="s">
        <v>196</v>
      </c>
      <c r="B31" s="152">
        <v>1220000</v>
      </c>
      <c r="C31" s="152">
        <v>31000000</v>
      </c>
      <c r="D31" s="152" t="s">
        <v>197</v>
      </c>
      <c r="E31" s="201" t="s">
        <v>198</v>
      </c>
      <c r="F31" s="113">
        <v>30</v>
      </c>
      <c r="G31" s="167">
        <f>C31/B31</f>
      </c>
      <c r="H31" s="110"/>
      <c r="I31" s="189" t="s">
        <v>199</v>
      </c>
      <c r="J31" s="202">
        <f>(J30*O32)/1000</f>
      </c>
      <c r="K31" s="197">
        <f>(K30*O33)/1000</f>
      </c>
      <c r="L31" s="197">
        <f>(L30)/1000</f>
      </c>
      <c r="M31" s="198">
        <f>(M30)*O33/1000</f>
      </c>
      <c r="N31" s="203">
        <v>0</v>
      </c>
      <c r="O31" s="204">
        <v>0</v>
      </c>
      <c r="P31" s="22"/>
      <c r="Q31" s="22"/>
      <c r="R31" s="22"/>
    </row>
    <row x14ac:dyDescent="0.25" r="32" customHeight="1" ht="18.75">
      <c r="A32" s="144" t="s">
        <v>200</v>
      </c>
      <c r="B32" s="152"/>
      <c r="C32" s="152"/>
      <c r="D32" s="152"/>
      <c r="E32" s="193"/>
      <c r="F32" s="22"/>
      <c r="G32" s="167"/>
      <c r="H32" s="110"/>
      <c r="I32" s="189"/>
      <c r="J32" s="205"/>
      <c r="K32" s="205"/>
      <c r="L32" s="205"/>
      <c r="M32" s="206"/>
      <c r="N32" s="207" t="s">
        <v>201</v>
      </c>
      <c r="O32" s="208">
        <v>12</v>
      </c>
      <c r="P32" s="22"/>
      <c r="Q32" s="22"/>
      <c r="R32" s="22"/>
    </row>
    <row x14ac:dyDescent="0.25" r="33" customHeight="1" ht="18.75">
      <c r="A33" s="144" t="s">
        <v>202</v>
      </c>
      <c r="B33" s="152"/>
      <c r="C33" s="152"/>
      <c r="D33" s="152"/>
      <c r="E33" s="193"/>
      <c r="F33" s="22"/>
      <c r="G33" s="167"/>
      <c r="H33" s="110"/>
      <c r="I33" s="189" t="s">
        <v>203</v>
      </c>
      <c r="J33" s="205" t="s">
        <v>204</v>
      </c>
      <c r="K33" s="205" t="s">
        <v>205</v>
      </c>
      <c r="L33" s="205"/>
      <c r="M33" s="206"/>
      <c r="N33" s="209" t="s">
        <v>206</v>
      </c>
      <c r="O33" s="200">
        <v>1</v>
      </c>
      <c r="P33" s="22"/>
      <c r="Q33" s="22"/>
      <c r="R33" s="22"/>
    </row>
    <row x14ac:dyDescent="0.25" r="34" customHeight="1" ht="18.75">
      <c r="A34" s="144" t="s">
        <v>207</v>
      </c>
      <c r="B34" s="152"/>
      <c r="C34" s="152"/>
      <c r="D34" s="152"/>
      <c r="E34" s="210"/>
      <c r="F34" s="22"/>
      <c r="G34" s="167"/>
      <c r="H34" s="110"/>
      <c r="I34" s="189" t="s">
        <v>208</v>
      </c>
      <c r="J34" s="205"/>
      <c r="K34" s="197">
        <f>J301</f>
      </c>
      <c r="L34" s="205"/>
      <c r="M34" s="211">
        <f>J31+M31</f>
      </c>
      <c r="N34" s="212" t="s">
        <v>209</v>
      </c>
      <c r="O34" s="204">
        <v>0</v>
      </c>
      <c r="P34" s="22"/>
      <c r="Q34" s="22"/>
      <c r="R34" s="22"/>
    </row>
    <row x14ac:dyDescent="0.25" r="35" customHeight="1" ht="18.75">
      <c r="A35" s="144" t="s">
        <v>210</v>
      </c>
      <c r="B35" s="152"/>
      <c r="C35" s="152"/>
      <c r="D35" s="152"/>
      <c r="E35" s="213"/>
      <c r="F35" s="22"/>
      <c r="G35" s="167"/>
      <c r="H35" s="110"/>
      <c r="I35" s="136" t="s">
        <v>211</v>
      </c>
      <c r="J35" s="214">
        <v>0</v>
      </c>
      <c r="K35" s="214">
        <v>0</v>
      </c>
      <c r="L35" s="215"/>
      <c r="M35" s="204">
        <f>(J31+L31*O33)*J35</f>
      </c>
      <c r="N35" s="22"/>
      <c r="O35" s="110"/>
      <c r="P35" s="22"/>
      <c r="Q35" s="22"/>
      <c r="R35" s="22"/>
    </row>
    <row x14ac:dyDescent="0.25" r="36" customHeight="1" ht="18.75">
      <c r="A36" s="144" t="s">
        <v>212</v>
      </c>
      <c r="B36" s="152"/>
      <c r="C36" s="152"/>
      <c r="D36" s="152"/>
      <c r="E36" s="213"/>
      <c r="F36" s="22"/>
      <c r="G36" s="167"/>
      <c r="H36" s="110"/>
      <c r="I36" s="95"/>
      <c r="J36" s="110"/>
      <c r="K36" s="110"/>
      <c r="L36" s="110"/>
      <c r="M36" s="110"/>
      <c r="N36" s="22"/>
      <c r="O36" s="110"/>
      <c r="P36" s="22"/>
      <c r="Q36" s="22"/>
      <c r="R36" s="22"/>
    </row>
    <row x14ac:dyDescent="0.25" r="37" customHeight="1" ht="18.75">
      <c r="A37" s="144" t="s">
        <v>213</v>
      </c>
      <c r="B37" s="152"/>
      <c r="C37" s="152"/>
      <c r="D37" s="152"/>
      <c r="E37" s="216"/>
      <c r="F37" s="22"/>
      <c r="G37" s="167"/>
      <c r="H37" s="110"/>
      <c r="I37" s="128" t="s">
        <v>214</v>
      </c>
      <c r="J37" s="194" t="s">
        <v>215</v>
      </c>
      <c r="K37" s="194" t="s">
        <v>216</v>
      </c>
      <c r="L37" s="194" t="s">
        <v>217</v>
      </c>
      <c r="M37" s="195" t="s">
        <v>218</v>
      </c>
      <c r="N37" s="171" t="s">
        <v>219</v>
      </c>
      <c r="O37" s="196" t="s">
        <v>220</v>
      </c>
      <c r="P37" s="22"/>
      <c r="Q37" s="22"/>
      <c r="R37" s="22"/>
    </row>
    <row x14ac:dyDescent="0.25" r="38" customHeight="1" ht="18.75">
      <c r="A38" s="144" t="s">
        <v>221</v>
      </c>
      <c r="B38" s="152"/>
      <c r="C38" s="152"/>
      <c r="D38" s="152"/>
      <c r="E38" s="216"/>
      <c r="F38" s="22"/>
      <c r="G38" s="167"/>
      <c r="H38" s="110"/>
      <c r="I38" s="189"/>
      <c r="J38" s="197">
        <v>0</v>
      </c>
      <c r="K38" s="197">
        <v>0</v>
      </c>
      <c r="L38" s="197">
        <v>0</v>
      </c>
      <c r="M38" s="198">
        <v>1</v>
      </c>
      <c r="N38" s="199">
        <v>1</v>
      </c>
      <c r="O38" s="200">
        <v>1</v>
      </c>
      <c r="P38" s="22"/>
      <c r="Q38" s="22"/>
      <c r="R38" s="22"/>
    </row>
    <row x14ac:dyDescent="0.25" r="39" customHeight="1" ht="18.75">
      <c r="A39" s="144" t="s">
        <v>222</v>
      </c>
      <c r="B39" s="152"/>
      <c r="C39" s="217"/>
      <c r="D39" s="152"/>
      <c r="E39" s="216"/>
      <c r="F39" s="22"/>
      <c r="G39" s="167"/>
      <c r="H39" s="110"/>
      <c r="I39" s="136" t="s">
        <v>223</v>
      </c>
      <c r="J39" s="214">
        <f>J38*0.022</f>
      </c>
      <c r="K39" s="214">
        <f>K38*0.018</f>
      </c>
      <c r="L39" s="214">
        <f>L38*0.009</f>
      </c>
      <c r="M39" s="218">
        <f>M38*0.014</f>
      </c>
      <c r="N39" s="203">
        <v>0</v>
      </c>
      <c r="O39" s="204">
        <v>0</v>
      </c>
      <c r="P39" s="22"/>
      <c r="Q39" s="22"/>
      <c r="R39" s="22"/>
    </row>
    <row x14ac:dyDescent="0.25" r="40" customHeight="1" ht="18.75">
      <c r="A40" s="144" t="s">
        <v>224</v>
      </c>
      <c r="B40" s="152"/>
      <c r="C40" s="152"/>
      <c r="D40" s="152"/>
      <c r="E40" s="216"/>
      <c r="F40" s="22"/>
      <c r="G40" s="167"/>
      <c r="H40" s="110"/>
      <c r="I40" s="95"/>
      <c r="J40" s="110"/>
      <c r="K40" s="110"/>
      <c r="L40" s="110"/>
      <c r="M40" s="110"/>
      <c r="N40" s="22"/>
      <c r="O40" s="110"/>
      <c r="P40" s="22"/>
      <c r="Q40" s="22"/>
      <c r="R40" s="22"/>
    </row>
    <row x14ac:dyDescent="0.25" r="41" customHeight="1" ht="18.75">
      <c r="A41" s="144" t="s">
        <v>225</v>
      </c>
      <c r="B41" s="152"/>
      <c r="C41" s="152"/>
      <c r="D41" s="152"/>
      <c r="E41" s="216"/>
      <c r="F41" s="22"/>
      <c r="G41" s="167"/>
      <c r="H41" s="110"/>
      <c r="I41" s="128" t="s">
        <v>158</v>
      </c>
      <c r="J41" s="194" t="s">
        <v>226</v>
      </c>
      <c r="K41" s="194" t="s">
        <v>227</v>
      </c>
      <c r="L41" s="194" t="s">
        <v>115</v>
      </c>
      <c r="M41" s="194" t="s">
        <v>228</v>
      </c>
      <c r="N41" s="172" t="s">
        <v>229</v>
      </c>
      <c r="O41" s="196"/>
      <c r="P41" s="22"/>
      <c r="Q41" s="22"/>
      <c r="R41" s="22"/>
    </row>
    <row x14ac:dyDescent="0.25" r="42" customHeight="1" ht="18.75">
      <c r="A42" s="144" t="s">
        <v>230</v>
      </c>
      <c r="B42" s="217"/>
      <c r="C42" s="217"/>
      <c r="D42" s="152"/>
      <c r="E42" s="219"/>
      <c r="F42" s="22"/>
      <c r="G42" s="220"/>
      <c r="H42" s="110"/>
      <c r="I42" s="136" t="s">
        <v>231</v>
      </c>
      <c r="J42" s="221">
        <f>SUM(J31:M31)</f>
      </c>
      <c r="K42" s="221">
        <f>SUM(J39:M39)</f>
      </c>
      <c r="L42" s="221">
        <f>SUM(J18:Q18)</f>
      </c>
      <c r="M42" s="221">
        <f>SUM(M34:M35)</f>
      </c>
      <c r="N42" s="214">
        <f>R25</f>
      </c>
      <c r="O42" s="222"/>
      <c r="P42" s="22"/>
      <c r="Q42" s="22"/>
      <c r="R42" s="22"/>
    </row>
    <row x14ac:dyDescent="0.25" r="43" customHeight="1" ht="18.75">
      <c r="A43" s="144" t="s">
        <v>232</v>
      </c>
      <c r="B43" s="152"/>
      <c r="C43" s="152"/>
      <c r="D43" s="152"/>
      <c r="E43" s="213"/>
      <c r="F43" s="22"/>
      <c r="G43" s="169"/>
      <c r="H43" s="110"/>
      <c r="I43" s="95"/>
      <c r="J43" s="110"/>
      <c r="K43" s="110"/>
      <c r="L43" s="110"/>
      <c r="M43" s="110"/>
      <c r="N43" s="22"/>
      <c r="O43" s="110"/>
      <c r="P43" s="22"/>
      <c r="Q43" s="22"/>
      <c r="R43" s="22"/>
    </row>
    <row x14ac:dyDescent="0.25" r="44" customHeight="1" ht="18.75">
      <c r="A44" s="144" t="s">
        <v>233</v>
      </c>
      <c r="B44" s="152"/>
      <c r="C44" s="152"/>
      <c r="D44" s="152"/>
      <c r="E44" s="213"/>
      <c r="F44" s="22"/>
      <c r="G44" s="169"/>
      <c r="H44" s="110"/>
      <c r="I44" s="128" t="s">
        <v>234</v>
      </c>
      <c r="J44" s="194" t="s">
        <v>226</v>
      </c>
      <c r="K44" s="194" t="s">
        <v>227</v>
      </c>
      <c r="L44" s="194" t="s">
        <v>115</v>
      </c>
      <c r="M44" s="194" t="s">
        <v>228</v>
      </c>
      <c r="N44" s="172" t="s">
        <v>229</v>
      </c>
      <c r="O44" s="196"/>
      <c r="P44" s="22"/>
      <c r="Q44" s="22"/>
      <c r="R44" s="22"/>
    </row>
    <row x14ac:dyDescent="0.25" r="45" customHeight="1" ht="18.75">
      <c r="A45" s="144" t="s">
        <v>235</v>
      </c>
      <c r="B45" s="223"/>
      <c r="C45" s="22"/>
      <c r="D45" s="152"/>
      <c r="E45" s="224"/>
      <c r="F45" s="22"/>
      <c r="G45" s="110"/>
      <c r="H45" s="110"/>
      <c r="I45" s="136" t="s">
        <v>236</v>
      </c>
      <c r="J45" s="221">
        <f>J42</f>
      </c>
      <c r="K45" s="221">
        <f>K42</f>
      </c>
      <c r="L45" s="221">
        <f>L42</f>
      </c>
      <c r="M45" s="221">
        <f>M42</f>
      </c>
      <c r="N45" s="214">
        <v>0</v>
      </c>
      <c r="O45" s="225">
        <f>SUM(J45:N45)</f>
      </c>
      <c r="P45" s="22"/>
      <c r="Q45" s="22"/>
      <c r="R45" s="22"/>
    </row>
    <row x14ac:dyDescent="0.25" r="46" customHeight="1" ht="18.75">
      <c r="A46" s="144" t="s">
        <v>237</v>
      </c>
      <c r="B46" s="223"/>
      <c r="C46" s="22"/>
      <c r="D46" s="166"/>
      <c r="E46" s="22"/>
      <c r="F46" s="22"/>
      <c r="G46" s="110"/>
      <c r="H46" s="110"/>
      <c r="I46" s="9"/>
      <c r="J46" s="110"/>
      <c r="K46" s="110"/>
      <c r="L46" s="110"/>
      <c r="M46" s="110"/>
      <c r="N46" s="22"/>
      <c r="O46" s="110"/>
      <c r="P46" s="22"/>
      <c r="Q46" s="22"/>
      <c r="R46" s="22"/>
    </row>
    <row x14ac:dyDescent="0.25" r="47" customHeight="1" ht="18.75">
      <c r="A47" s="144" t="s">
        <v>238</v>
      </c>
      <c r="B47" s="223"/>
      <c r="C47" s="22"/>
      <c r="D47" s="166"/>
      <c r="E47" s="22"/>
      <c r="F47" s="22"/>
      <c r="G47" s="110"/>
      <c r="H47" s="110"/>
      <c r="I47" s="9"/>
      <c r="J47" s="110"/>
      <c r="K47" s="110"/>
      <c r="L47" s="110"/>
      <c r="M47" s="226" t="s">
        <v>239</v>
      </c>
      <c r="N47" s="227"/>
      <c r="O47" s="228">
        <f>O45</f>
      </c>
      <c r="P47" s="22"/>
      <c r="Q47" s="22"/>
      <c r="R47" s="22"/>
    </row>
    <row x14ac:dyDescent="0.25" r="48" customHeight="1" ht="18.75">
      <c r="A48" s="144" t="s">
        <v>240</v>
      </c>
      <c r="B48" s="223"/>
      <c r="C48" s="22"/>
      <c r="D48" s="166"/>
      <c r="E48" s="22"/>
      <c r="F48" s="22"/>
      <c r="G48" s="110"/>
      <c r="H48" s="113">
        <f>SUM(C10:C39)</f>
      </c>
      <c r="I48" s="229" t="s">
        <v>241</v>
      </c>
      <c r="J48" s="110"/>
      <c r="K48" s="230" t="s">
        <v>242</v>
      </c>
      <c r="L48" s="110"/>
      <c r="M48" s="110"/>
      <c r="N48" s="22"/>
      <c r="O48" s="110"/>
      <c r="P48" s="22"/>
      <c r="Q48" s="22"/>
      <c r="R48" s="22"/>
    </row>
    <row x14ac:dyDescent="0.25" r="49" customHeight="1" ht="18.75">
      <c r="A49" s="144" t="s">
        <v>243</v>
      </c>
      <c r="B49" s="223"/>
      <c r="C49" s="40" t="s">
        <v>244</v>
      </c>
      <c r="D49" s="113">
        <f>-31000000</f>
      </c>
      <c r="E49" s="22"/>
      <c r="F49" s="22"/>
      <c r="G49" s="110"/>
      <c r="H49" s="231">
        <f>(B2-H50)*B6</f>
      </c>
      <c r="I49" s="139" t="s">
        <v>245</v>
      </c>
      <c r="J49" s="110"/>
      <c r="K49" s="232"/>
      <c r="L49" s="233"/>
      <c r="M49" s="110" t="s">
        <v>246</v>
      </c>
      <c r="N49" s="22"/>
      <c r="O49" s="110"/>
      <c r="P49" s="22"/>
      <c r="Q49" s="22"/>
      <c r="R49" s="22"/>
    </row>
    <row x14ac:dyDescent="0.25" r="50" customHeight="1" ht="18.75">
      <c r="A50" s="144" t="s">
        <v>247</v>
      </c>
      <c r="B50" s="223"/>
      <c r="C50" s="22"/>
      <c r="D50" s="113">
        <f>10300*1500</f>
      </c>
      <c r="E50" s="40">
        <v>1500</v>
      </c>
      <c r="F50" s="113" t="s">
        <v>248</v>
      </c>
      <c r="G50" s="110"/>
      <c r="H50" s="234">
        <f>SUM(G10:G74)</f>
      </c>
      <c r="I50" s="174" t="s">
        <v>249</v>
      </c>
      <c r="J50" s="110"/>
      <c r="K50" s="235">
        <f>H50*O47</f>
      </c>
      <c r="L50" s="110"/>
      <c r="M50" s="110"/>
      <c r="N50" s="22"/>
      <c r="O50" s="109">
        <f>ABS(O47)</f>
      </c>
      <c r="P50" s="22"/>
      <c r="Q50" s="22"/>
      <c r="R50" s="22"/>
    </row>
    <row x14ac:dyDescent="0.25" r="51" customHeight="1" ht="18.75">
      <c r="A51" s="144" t="s">
        <v>250</v>
      </c>
      <c r="B51" s="223"/>
      <c r="C51" s="22"/>
      <c r="D51" s="113">
        <f>1000*10900</f>
      </c>
      <c r="E51" s="40">
        <v>1000</v>
      </c>
      <c r="F51" s="113" t="s">
        <v>248</v>
      </c>
      <c r="G51" s="110"/>
      <c r="H51" s="110"/>
      <c r="I51" s="9"/>
      <c r="J51" s="110"/>
      <c r="K51" s="110"/>
      <c r="L51" s="110"/>
      <c r="M51" s="110"/>
      <c r="N51" s="22"/>
      <c r="O51" s="110"/>
      <c r="P51" s="22"/>
      <c r="Q51" s="22"/>
      <c r="R51" s="22"/>
    </row>
    <row x14ac:dyDescent="0.25" r="52" customHeight="1" ht="18.75">
      <c r="A52" s="144" t="s">
        <v>251</v>
      </c>
      <c r="B52" s="223"/>
      <c r="C52" s="22"/>
      <c r="D52" s="113">
        <f>500*12000</f>
      </c>
      <c r="E52" s="40">
        <v>500</v>
      </c>
      <c r="F52" s="113" t="s">
        <v>248</v>
      </c>
      <c r="G52" s="110"/>
      <c r="H52" s="236"/>
      <c r="I52" s="237"/>
      <c r="J52" s="110"/>
      <c r="K52" s="110"/>
      <c r="L52" s="110"/>
      <c r="M52" s="110"/>
      <c r="N52" s="22"/>
      <c r="O52" s="110"/>
      <c r="P52" s="22"/>
      <c r="Q52" s="22"/>
      <c r="R52" s="22"/>
    </row>
    <row x14ac:dyDescent="0.25" r="53" customHeight="1" ht="18.75">
      <c r="A53" s="144" t="s">
        <v>252</v>
      </c>
      <c r="B53" s="223"/>
      <c r="C53" s="22"/>
      <c r="D53" s="166"/>
      <c r="E53" s="22"/>
      <c r="F53" s="22"/>
      <c r="G53" s="110"/>
      <c r="H53" s="110"/>
      <c r="I53" s="238"/>
      <c r="J53" s="110"/>
      <c r="K53" s="110"/>
      <c r="L53" s="110"/>
      <c r="M53" s="110"/>
      <c r="N53" s="22"/>
      <c r="O53" s="110"/>
      <c r="P53" s="22"/>
      <c r="Q53" s="22"/>
      <c r="R53" s="22"/>
    </row>
    <row x14ac:dyDescent="0.25" r="54" customHeight="1" ht="18.75">
      <c r="A54" s="144" t="s">
        <v>253</v>
      </c>
      <c r="B54" s="223"/>
      <c r="C54" s="22"/>
      <c r="D54" s="166"/>
      <c r="E54" s="22"/>
      <c r="F54" s="22"/>
      <c r="G54" s="110"/>
      <c r="H54" s="110"/>
      <c r="I54" s="238"/>
      <c r="J54" s="110"/>
      <c r="K54" s="110"/>
      <c r="L54" s="110"/>
      <c r="M54" s="110"/>
      <c r="N54" s="22"/>
      <c r="O54" s="110"/>
      <c r="P54" s="22"/>
      <c r="Q54" s="22"/>
      <c r="R54" s="22"/>
    </row>
    <row x14ac:dyDescent="0.25" r="55" customHeight="1" ht="18.75">
      <c r="A55" s="144" t="s">
        <v>254</v>
      </c>
      <c r="B55" s="223"/>
      <c r="C55" s="22"/>
      <c r="D55" s="166"/>
      <c r="E55" s="22"/>
      <c r="F55" s="22"/>
      <c r="G55" s="110"/>
      <c r="H55" s="110"/>
      <c r="I55" s="238"/>
      <c r="J55" s="110"/>
      <c r="K55" s="110"/>
      <c r="L55" s="110"/>
      <c r="M55" s="110"/>
      <c r="N55" s="22"/>
      <c r="O55" s="110"/>
      <c r="P55" s="22"/>
      <c r="Q55" s="22"/>
      <c r="R55" s="22"/>
    </row>
    <row x14ac:dyDescent="0.25" r="56" customHeight="1" ht="18.75">
      <c r="A56" s="144" t="s">
        <v>255</v>
      </c>
      <c r="B56" s="223"/>
      <c r="C56" s="22"/>
      <c r="D56" s="166"/>
      <c r="E56" s="22"/>
      <c r="F56" s="22"/>
      <c r="G56" s="110"/>
      <c r="H56" s="110"/>
      <c r="I56" s="239"/>
      <c r="J56" s="110"/>
      <c r="K56" s="110"/>
      <c r="L56" s="110"/>
      <c r="M56" s="110"/>
      <c r="N56" s="22"/>
      <c r="O56" s="110"/>
      <c r="P56" s="22"/>
      <c r="Q56" s="22"/>
      <c r="R56" s="22"/>
    </row>
    <row x14ac:dyDescent="0.25" r="57" customHeight="1" ht="18.75">
      <c r="A57" s="144" t="s">
        <v>256</v>
      </c>
      <c r="B57" s="223"/>
      <c r="C57" s="22"/>
      <c r="D57" s="166"/>
      <c r="E57" s="240"/>
      <c r="F57" s="22"/>
      <c r="G57" s="110"/>
      <c r="H57" s="110"/>
      <c r="I57" s="9"/>
      <c r="J57" s="110"/>
      <c r="K57" s="110"/>
      <c r="L57" s="110"/>
      <c r="M57" s="110"/>
      <c r="N57" s="22"/>
      <c r="O57" s="110"/>
      <c r="P57" s="22"/>
      <c r="Q57" s="22"/>
      <c r="R57" s="22"/>
    </row>
    <row x14ac:dyDescent="0.25" r="58" customHeight="1" ht="18.75">
      <c r="A58" s="144" t="s">
        <v>257</v>
      </c>
      <c r="B58" s="223"/>
      <c r="C58" s="22"/>
      <c r="D58" s="166"/>
      <c r="E58" s="240"/>
      <c r="F58" s="22"/>
      <c r="G58" s="110"/>
      <c r="H58" s="110"/>
      <c r="I58" s="9"/>
      <c r="J58" s="110"/>
      <c r="K58" s="110"/>
      <c r="L58" s="110"/>
      <c r="M58" s="110"/>
      <c r="N58" s="22"/>
      <c r="O58" s="110"/>
      <c r="P58" s="22"/>
      <c r="Q58" s="22"/>
      <c r="R58" s="22"/>
    </row>
    <row x14ac:dyDescent="0.25" r="59" customHeight="1" ht="18.75">
      <c r="A59" s="144" t="s">
        <v>258</v>
      </c>
      <c r="B59" s="223"/>
      <c r="C59" s="22"/>
      <c r="D59" s="166"/>
      <c r="E59" s="240"/>
      <c r="F59" s="22"/>
      <c r="G59" s="110"/>
      <c r="H59" s="110"/>
      <c r="I59" s="9"/>
      <c r="J59" s="110"/>
      <c r="K59" s="110"/>
      <c r="L59" s="110"/>
      <c r="M59" s="110"/>
      <c r="N59" s="22"/>
      <c r="O59" s="110"/>
      <c r="P59" s="22"/>
      <c r="Q59" s="22"/>
      <c r="R59" s="22"/>
    </row>
    <row x14ac:dyDescent="0.25" r="60" customHeight="1" ht="18.75">
      <c r="A60" s="144" t="s">
        <v>259</v>
      </c>
      <c r="B60" s="223"/>
      <c r="C60" s="22"/>
      <c r="D60" s="166"/>
      <c r="E60" s="240"/>
      <c r="F60" s="22"/>
      <c r="G60" s="110"/>
      <c r="H60" s="110"/>
      <c r="I60" s="9"/>
      <c r="J60" s="110"/>
      <c r="K60" s="110"/>
      <c r="L60" s="110"/>
      <c r="M60" s="110"/>
      <c r="N60" s="22"/>
      <c r="O60" s="110"/>
      <c r="P60" s="22"/>
      <c r="Q60" s="22"/>
      <c r="R60" s="22"/>
    </row>
    <row x14ac:dyDescent="0.25" r="61" customHeight="1" ht="18.75">
      <c r="A61" s="144" t="s">
        <v>260</v>
      </c>
      <c r="B61" s="223"/>
      <c r="C61" s="22"/>
      <c r="D61" s="166"/>
      <c r="E61" s="240"/>
      <c r="F61" s="22"/>
      <c r="G61" s="110"/>
      <c r="H61" s="110"/>
      <c r="I61" s="9"/>
      <c r="J61" s="110"/>
      <c r="K61" s="110"/>
      <c r="L61" s="110"/>
      <c r="M61" s="110"/>
      <c r="N61" s="22"/>
      <c r="O61" s="110"/>
      <c r="P61" s="22"/>
      <c r="Q61" s="22"/>
      <c r="R61" s="22"/>
    </row>
    <row x14ac:dyDescent="0.25" r="62" customHeight="1" ht="18.75">
      <c r="A62" s="144" t="s">
        <v>261</v>
      </c>
      <c r="B62" s="223"/>
      <c r="C62" s="22"/>
      <c r="D62" s="166"/>
      <c r="E62" s="240"/>
      <c r="F62" s="22"/>
      <c r="G62" s="110"/>
      <c r="H62" s="110"/>
      <c r="I62" s="9"/>
      <c r="J62" s="110"/>
      <c r="K62" s="110"/>
      <c r="L62" s="110"/>
      <c r="M62" s="110"/>
      <c r="N62" s="22"/>
      <c r="O62" s="110"/>
      <c r="P62" s="22"/>
      <c r="Q62" s="22"/>
      <c r="R62" s="22"/>
    </row>
    <row x14ac:dyDescent="0.25" r="63" customHeight="1" ht="18.75">
      <c r="A63" s="144" t="s">
        <v>262</v>
      </c>
      <c r="B63" s="223"/>
      <c r="C63" s="22"/>
      <c r="D63" s="166"/>
      <c r="E63" s="240"/>
      <c r="F63" s="22"/>
      <c r="G63" s="110"/>
      <c r="H63" s="110"/>
      <c r="I63" s="9"/>
      <c r="J63" s="110"/>
      <c r="K63" s="110"/>
      <c r="L63" s="110"/>
      <c r="M63" s="110"/>
      <c r="N63" s="22"/>
      <c r="O63" s="110"/>
      <c r="P63" s="22"/>
      <c r="Q63" s="22"/>
      <c r="R63" s="22"/>
    </row>
    <row x14ac:dyDescent="0.25" r="64" customHeight="1" ht="18.75">
      <c r="A64" s="144" t="s">
        <v>263</v>
      </c>
      <c r="B64" s="223"/>
      <c r="C64" s="22"/>
      <c r="D64" s="166"/>
      <c r="E64" s="224"/>
      <c r="F64" s="22"/>
      <c r="G64" s="110"/>
      <c r="H64" s="110"/>
      <c r="I64" s="9"/>
      <c r="J64" s="110"/>
      <c r="K64" s="110"/>
      <c r="L64" s="110"/>
      <c r="M64" s="110"/>
      <c r="N64" s="22"/>
      <c r="O64" s="110"/>
      <c r="P64" s="22"/>
      <c r="Q64" s="22"/>
      <c r="R64" s="22"/>
    </row>
    <row x14ac:dyDescent="0.25" r="65" customHeight="1" ht="18.75">
      <c r="A65" s="144" t="s">
        <v>264</v>
      </c>
      <c r="B65" s="223"/>
      <c r="C65" s="22"/>
      <c r="D65" s="166"/>
      <c r="E65" s="224"/>
      <c r="F65" s="22"/>
      <c r="G65" s="110"/>
      <c r="H65" s="110"/>
      <c r="I65" s="9"/>
      <c r="J65" s="110"/>
      <c r="K65" s="110"/>
      <c r="L65" s="110"/>
      <c r="M65" s="110"/>
      <c r="N65" s="22"/>
      <c r="O65" s="110"/>
      <c r="P65" s="22"/>
      <c r="Q65" s="22"/>
      <c r="R65" s="22"/>
    </row>
    <row x14ac:dyDescent="0.25" r="66" customHeight="1" ht="18.75">
      <c r="A66" s="144" t="s">
        <v>265</v>
      </c>
      <c r="B66" s="223"/>
      <c r="C66" s="22"/>
      <c r="D66" s="166"/>
      <c r="E66" s="22"/>
      <c r="F66" s="22"/>
      <c r="G66" s="110"/>
      <c r="H66" s="110"/>
      <c r="I66" s="9"/>
      <c r="J66" s="110"/>
      <c r="K66" s="110"/>
      <c r="L66" s="110"/>
      <c r="M66" s="110"/>
      <c r="N66" s="22"/>
      <c r="O66" s="110"/>
      <c r="P66" s="22"/>
      <c r="Q66" s="22"/>
      <c r="R66" s="22"/>
    </row>
    <row x14ac:dyDescent="0.25" r="67" customHeight="1" ht="18.75">
      <c r="A67" s="144" t="s">
        <v>266</v>
      </c>
      <c r="B67" s="223"/>
      <c r="C67" s="22"/>
      <c r="D67" s="166"/>
      <c r="E67" s="22"/>
      <c r="F67" s="22"/>
      <c r="G67" s="110"/>
      <c r="H67" s="110"/>
      <c r="I67" s="9"/>
      <c r="J67" s="110"/>
      <c r="K67" s="110"/>
      <c r="L67" s="110"/>
      <c r="M67" s="110"/>
      <c r="N67" s="22"/>
      <c r="O67" s="110"/>
      <c r="P67" s="22"/>
      <c r="Q67" s="22"/>
      <c r="R67" s="22"/>
    </row>
    <row x14ac:dyDescent="0.25" r="68" customHeight="1" ht="18.75">
      <c r="A68" s="144" t="s">
        <v>267</v>
      </c>
      <c r="B68" s="223"/>
      <c r="C68" s="22"/>
      <c r="D68" s="166"/>
      <c r="E68" s="22"/>
      <c r="F68" s="22"/>
      <c r="G68" s="110"/>
      <c r="H68" s="110"/>
      <c r="I68" s="9"/>
      <c r="J68" s="110"/>
      <c r="K68" s="110"/>
      <c r="L68" s="110"/>
      <c r="M68" s="110"/>
      <c r="N68" s="22"/>
      <c r="O68" s="110"/>
      <c r="P68" s="22"/>
      <c r="Q68" s="22"/>
      <c r="R68" s="22"/>
    </row>
    <row x14ac:dyDescent="0.25" r="69" customHeight="1" ht="18.75">
      <c r="A69" s="144" t="s">
        <v>268</v>
      </c>
      <c r="B69" s="22"/>
      <c r="C69" s="22"/>
      <c r="D69" s="166"/>
      <c r="E69" s="22"/>
      <c r="F69" s="22"/>
      <c r="G69" s="110"/>
      <c r="H69" s="110"/>
      <c r="I69" s="9"/>
      <c r="J69" s="110"/>
      <c r="K69" s="110"/>
      <c r="L69" s="110"/>
      <c r="M69" s="110"/>
      <c r="N69" s="22"/>
      <c r="O69" s="110"/>
      <c r="P69" s="22"/>
      <c r="Q69" s="22"/>
      <c r="R69" s="22"/>
    </row>
    <row x14ac:dyDescent="0.25" r="70" customHeight="1" ht="18.75">
      <c r="A70" s="144" t="s">
        <v>269</v>
      </c>
      <c r="B70" s="22"/>
      <c r="C70" s="22"/>
      <c r="D70" s="166"/>
      <c r="E70" s="22"/>
      <c r="F70" s="22"/>
      <c r="G70" s="110"/>
      <c r="H70" s="110"/>
      <c r="I70" s="9"/>
      <c r="J70" s="110"/>
      <c r="K70" s="110"/>
      <c r="L70" s="110"/>
      <c r="M70" s="110"/>
      <c r="N70" s="22"/>
      <c r="O70" s="110"/>
      <c r="P70" s="22"/>
      <c r="Q70" s="22"/>
      <c r="R70" s="22"/>
    </row>
    <row x14ac:dyDescent="0.25" r="71" customHeight="1" ht="18.75">
      <c r="A71" s="22"/>
      <c r="B71" s="22"/>
      <c r="C71" s="22"/>
      <c r="D71" s="166"/>
      <c r="E71" s="22"/>
      <c r="F71" s="22"/>
      <c r="G71" s="110"/>
      <c r="H71" s="110"/>
      <c r="I71" s="9"/>
      <c r="J71" s="110"/>
      <c r="K71" s="110"/>
      <c r="L71" s="110"/>
      <c r="M71" s="110"/>
      <c r="N71" s="22"/>
      <c r="O71" s="110"/>
      <c r="P71" s="22"/>
      <c r="Q71" s="22"/>
      <c r="R71" s="22"/>
    </row>
    <row x14ac:dyDescent="0.25" r="72" customHeight="1" ht="18.75">
      <c r="A72" s="22"/>
      <c r="B72" s="22"/>
      <c r="C72" s="22"/>
      <c r="D72" s="166"/>
      <c r="E72" s="22"/>
      <c r="F72" s="22"/>
      <c r="G72" s="110"/>
      <c r="H72" s="110"/>
      <c r="I72" s="9"/>
      <c r="J72" s="110"/>
      <c r="K72" s="110"/>
      <c r="L72" s="110"/>
      <c r="M72" s="110"/>
      <c r="N72" s="22"/>
      <c r="O72" s="110"/>
      <c r="P72" s="22"/>
      <c r="Q72" s="22"/>
      <c r="R72" s="22"/>
    </row>
    <row x14ac:dyDescent="0.25" r="73" customHeight="1" ht="18.75">
      <c r="A73" s="22"/>
      <c r="B73" s="22"/>
      <c r="C73" s="22"/>
      <c r="D73" s="166"/>
      <c r="E73" s="22"/>
      <c r="F73" s="22"/>
      <c r="G73" s="110"/>
      <c r="H73" s="110"/>
      <c r="I73" s="9"/>
      <c r="J73" s="110"/>
      <c r="K73" s="110"/>
      <c r="L73" s="110"/>
      <c r="M73" s="110"/>
      <c r="N73" s="22"/>
      <c r="O73" s="110"/>
      <c r="P73" s="22"/>
      <c r="Q73" s="22"/>
      <c r="R73" s="22"/>
    </row>
    <row x14ac:dyDescent="0.25" r="74" customHeight="1" ht="18.75">
      <c r="A74" s="22"/>
      <c r="B74" s="22"/>
      <c r="C74" s="22"/>
      <c r="D74" s="166"/>
      <c r="E74" s="22"/>
      <c r="F74" s="22"/>
      <c r="G74" s="110"/>
      <c r="H74" s="110"/>
      <c r="I74" s="9"/>
      <c r="J74" s="110"/>
      <c r="K74" s="110"/>
      <c r="L74" s="110"/>
      <c r="M74" s="110"/>
      <c r="N74" s="22"/>
      <c r="O74" s="110"/>
      <c r="P74" s="22"/>
      <c r="Q74" s="22"/>
      <c r="R74" s="22"/>
    </row>
    <row x14ac:dyDescent="0.25" r="75" customHeight="1" ht="18.75">
      <c r="A75" s="22"/>
      <c r="B75" s="22"/>
      <c r="C75" s="22"/>
      <c r="D75" s="166"/>
      <c r="E75" s="22"/>
      <c r="F75" s="22"/>
      <c r="G75" s="110"/>
      <c r="H75" s="110"/>
      <c r="I75" s="9"/>
      <c r="J75" s="110"/>
      <c r="K75" s="110"/>
      <c r="L75" s="110"/>
      <c r="M75" s="110"/>
      <c r="N75" s="22"/>
      <c r="O75" s="110"/>
      <c r="P75" s="22"/>
      <c r="Q75" s="22"/>
      <c r="R75" s="22"/>
    </row>
    <row x14ac:dyDescent="0.25" r="76" customHeight="1" ht="18.75">
      <c r="A76" s="22"/>
      <c r="B76" s="22"/>
      <c r="C76" s="22"/>
      <c r="D76" s="166"/>
      <c r="E76" s="22"/>
      <c r="F76" s="22"/>
      <c r="G76" s="110"/>
      <c r="H76" s="110"/>
      <c r="I76" s="9"/>
      <c r="J76" s="110"/>
      <c r="K76" s="110"/>
      <c r="L76" s="110"/>
      <c r="M76" s="110"/>
      <c r="N76" s="22"/>
      <c r="O76" s="110"/>
      <c r="P76" s="22"/>
      <c r="Q76" s="22"/>
      <c r="R76" s="22"/>
    </row>
    <row x14ac:dyDescent="0.25" r="77" customHeight="1" ht="18.75">
      <c r="A77" s="22"/>
      <c r="B77" s="22"/>
      <c r="C77" s="22"/>
      <c r="D77" s="166"/>
      <c r="E77" s="22"/>
      <c r="F77" s="22"/>
      <c r="G77" s="110"/>
      <c r="H77" s="110"/>
      <c r="I77" s="9"/>
      <c r="J77" s="110"/>
      <c r="K77" s="110"/>
      <c r="L77" s="110"/>
      <c r="M77" s="110"/>
      <c r="N77" s="22"/>
      <c r="O77" s="110"/>
      <c r="P77" s="22"/>
      <c r="Q77" s="22"/>
      <c r="R77" s="22"/>
    </row>
    <row x14ac:dyDescent="0.25" r="78" customHeight="1" ht="18.75">
      <c r="A78" s="22"/>
      <c r="B78" s="22"/>
      <c r="C78" s="22"/>
      <c r="D78" s="166"/>
      <c r="E78" s="22"/>
      <c r="F78" s="22"/>
      <c r="G78" s="110"/>
      <c r="H78" s="110"/>
      <c r="I78" s="9"/>
      <c r="J78" s="110"/>
      <c r="K78" s="110"/>
      <c r="L78" s="110"/>
      <c r="M78" s="110"/>
      <c r="N78" s="22"/>
      <c r="O78" s="110"/>
      <c r="P78" s="22"/>
      <c r="Q78" s="22"/>
      <c r="R78" s="22"/>
    </row>
    <row x14ac:dyDescent="0.25" r="79" customHeight="1" ht="18.75">
      <c r="A79" s="22"/>
      <c r="B79" s="22"/>
      <c r="C79" s="22"/>
      <c r="D79" s="166"/>
      <c r="E79" s="22"/>
      <c r="F79" s="22"/>
      <c r="G79" s="110"/>
      <c r="H79" s="110"/>
      <c r="I79" s="9"/>
      <c r="J79" s="110"/>
      <c r="K79" s="110"/>
      <c r="L79" s="110"/>
      <c r="M79" s="110"/>
      <c r="N79" s="22"/>
      <c r="O79" s="110"/>
      <c r="P79" s="22"/>
      <c r="Q79" s="22"/>
      <c r="R79" s="22"/>
    </row>
    <row x14ac:dyDescent="0.25" r="80" customHeight="1" ht="18.75">
      <c r="A80" s="22"/>
      <c r="B80" s="22"/>
      <c r="C80" s="22"/>
      <c r="D80" s="166"/>
      <c r="E80" s="22"/>
      <c r="F80" s="22"/>
      <c r="G80" s="110"/>
      <c r="H80" s="110"/>
      <c r="I80" s="9"/>
      <c r="J80" s="110"/>
      <c r="K80" s="110"/>
      <c r="L80" s="110"/>
      <c r="M80" s="110"/>
      <c r="N80" s="22"/>
      <c r="O80" s="110"/>
      <c r="P80" s="22"/>
      <c r="Q80" s="22"/>
      <c r="R80" s="22"/>
    </row>
    <row x14ac:dyDescent="0.25" r="81" customHeight="1" ht="18.75">
      <c r="A81" s="22"/>
      <c r="B81" s="22"/>
      <c r="C81" s="22"/>
      <c r="D81" s="166"/>
      <c r="E81" s="22"/>
      <c r="F81" s="22"/>
      <c r="G81" s="110"/>
      <c r="H81" s="110"/>
      <c r="I81" s="9"/>
      <c r="J81" s="110"/>
      <c r="K81" s="110"/>
      <c r="L81" s="110"/>
      <c r="M81" s="110"/>
      <c r="N81" s="22"/>
      <c r="O81" s="110"/>
      <c r="P81" s="22"/>
      <c r="Q81" s="22"/>
      <c r="R81" s="22"/>
    </row>
    <row x14ac:dyDescent="0.25" r="82" customHeight="1" ht="18.75">
      <c r="A82" s="22"/>
      <c r="B82" s="22"/>
      <c r="C82" s="22"/>
      <c r="D82" s="166"/>
      <c r="E82" s="22"/>
      <c r="F82" s="22"/>
      <c r="G82" s="110"/>
      <c r="H82" s="110"/>
      <c r="I82" s="9"/>
      <c r="J82" s="110"/>
      <c r="K82" s="110"/>
      <c r="L82" s="110"/>
      <c r="M82" s="110"/>
      <c r="N82" s="22"/>
      <c r="O82" s="110"/>
      <c r="P82" s="22"/>
      <c r="Q82" s="22"/>
      <c r="R82" s="22"/>
    </row>
    <row x14ac:dyDescent="0.25" r="83" customHeight="1" ht="18.75">
      <c r="A83" s="22"/>
      <c r="B83" s="22"/>
      <c r="C83" s="22"/>
      <c r="D83" s="166"/>
      <c r="E83" s="22"/>
      <c r="F83" s="22"/>
      <c r="G83" s="110"/>
      <c r="H83" s="110"/>
      <c r="I83" s="9"/>
      <c r="J83" s="110"/>
      <c r="K83" s="110"/>
      <c r="L83" s="110"/>
      <c r="M83" s="110"/>
      <c r="N83" s="22"/>
      <c r="O83" s="110"/>
      <c r="P83" s="22"/>
      <c r="Q83" s="22"/>
      <c r="R83" s="22"/>
    </row>
    <row x14ac:dyDescent="0.25" r="84" customHeight="1" ht="18.75">
      <c r="A84" s="22"/>
      <c r="B84" s="22"/>
      <c r="C84" s="22"/>
      <c r="D84" s="166"/>
      <c r="E84" s="22"/>
      <c r="F84" s="22"/>
      <c r="G84" s="110"/>
      <c r="H84" s="110"/>
      <c r="I84" s="9"/>
      <c r="J84" s="110"/>
      <c r="K84" s="110"/>
      <c r="L84" s="110"/>
      <c r="M84" s="110"/>
      <c r="N84" s="22"/>
      <c r="O84" s="110"/>
      <c r="P84" s="22"/>
      <c r="Q84" s="22"/>
      <c r="R84" s="22"/>
    </row>
    <row x14ac:dyDescent="0.25" r="85" customHeight="1" ht="18.75">
      <c r="A85" s="22"/>
      <c r="B85" s="22"/>
      <c r="C85" s="22"/>
      <c r="D85" s="166"/>
      <c r="E85" s="22"/>
      <c r="F85" s="22"/>
      <c r="G85" s="110"/>
      <c r="H85" s="110"/>
      <c r="I85" s="9"/>
      <c r="J85" s="110"/>
      <c r="K85" s="110"/>
      <c r="L85" s="110"/>
      <c r="M85" s="110"/>
      <c r="N85" s="22"/>
      <c r="O85" s="110"/>
      <c r="P85" s="22"/>
      <c r="Q85" s="22"/>
      <c r="R85" s="22"/>
    </row>
    <row x14ac:dyDescent="0.25" r="86" customHeight="1" ht="18.75">
      <c r="A86" s="22"/>
      <c r="B86" s="22"/>
      <c r="C86" s="22"/>
      <c r="D86" s="166"/>
      <c r="E86" s="22"/>
      <c r="F86" s="22"/>
      <c r="G86" s="110"/>
      <c r="H86" s="110"/>
      <c r="I86" s="9"/>
      <c r="J86" s="110"/>
      <c r="K86" s="110"/>
      <c r="L86" s="110"/>
      <c r="M86" s="110"/>
      <c r="N86" s="22"/>
      <c r="O86" s="110"/>
      <c r="P86" s="22"/>
      <c r="Q86" s="22"/>
      <c r="R86" s="22"/>
    </row>
    <row x14ac:dyDescent="0.25" r="87" customHeight="1" ht="18.75">
      <c r="A87" s="22"/>
      <c r="B87" s="22"/>
      <c r="C87" s="22"/>
      <c r="D87" s="40"/>
      <c r="E87" s="22"/>
      <c r="F87" s="22"/>
      <c r="G87" s="110"/>
      <c r="H87" s="110"/>
      <c r="I87" s="9"/>
      <c r="J87" s="110"/>
      <c r="K87" s="110"/>
      <c r="L87" s="110"/>
      <c r="M87" s="110"/>
      <c r="N87" s="22"/>
      <c r="O87" s="110"/>
      <c r="P87" s="22"/>
      <c r="Q87" s="22"/>
      <c r="R87" s="22"/>
    </row>
  </sheetData>
  <mergeCells count="19">
    <mergeCell ref="A1:D1"/>
    <mergeCell ref="E1:F1"/>
    <mergeCell ref="H1:Q1"/>
    <mergeCell ref="C3:D3"/>
    <mergeCell ref="K3:M3"/>
    <mergeCell ref="N3:P3"/>
    <mergeCell ref="H7:H8"/>
    <mergeCell ref="J7:J8"/>
    <mergeCell ref="K7:K8"/>
    <mergeCell ref="L7:L8"/>
    <mergeCell ref="M7:M8"/>
    <mergeCell ref="N7:N8"/>
    <mergeCell ref="O7:O8"/>
    <mergeCell ref="P7:P8"/>
    <mergeCell ref="H11:L11"/>
    <mergeCell ref="N11:P11"/>
    <mergeCell ref="H12:L12"/>
    <mergeCell ref="N12:P12"/>
    <mergeCell ref="H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0"/>
  <sheetViews>
    <sheetView workbookViewId="0"/>
  </sheetViews>
  <sheetFormatPr defaultRowHeight="15" x14ac:dyDescent="0.25"/>
  <cols>
    <col min="1" max="1" style="91" width="13.576428571428572" customWidth="1" bestFit="1"/>
    <col min="2" max="2" style="92" width="6.433571428571429" customWidth="1" bestFit="1"/>
    <col min="3" max="3" style="91" width="29.14785714285714" customWidth="1" bestFit="1"/>
    <col min="4" max="4" style="93" width="13.576428571428572" customWidth="1" bestFit="1"/>
    <col min="5" max="5" style="114" width="13.576428571428572" customWidth="1" bestFit="1"/>
    <col min="6" max="6" style="114" width="13.576428571428572" customWidth="1" bestFit="1"/>
    <col min="7" max="7" style="114" width="9.719285714285713" customWidth="1" bestFit="1"/>
    <col min="8" max="8" style="114" width="9.719285714285713" customWidth="1" bestFit="1"/>
    <col min="9" max="9" style="91" width="14.43357142857143" customWidth="1" bestFit="1"/>
    <col min="10" max="10" style="92" width="9.005" customWidth="1" bestFit="1"/>
    <col min="11" max="11" style="92" width="15.719285714285713" customWidth="1" bestFit="1"/>
    <col min="12" max="12" style="92" width="6.862142857142857" customWidth="1" bestFit="1"/>
    <col min="13" max="13" style="92" width="12.43357142857143" customWidth="1" bestFit="1"/>
    <col min="14" max="14" style="92" width="13.576428571428572" customWidth="1" bestFit="1"/>
    <col min="15" max="15" style="92" width="6.005" customWidth="1" bestFit="1"/>
    <col min="16" max="16" style="92" width="5.719285714285714" customWidth="1" bestFit="1"/>
    <col min="17" max="17" style="91" width="16.005" customWidth="1" bestFit="1"/>
    <col min="18" max="18" style="92" width="13.005" customWidth="1" bestFit="1"/>
  </cols>
  <sheetData>
    <row x14ac:dyDescent="0.25" r="1" customHeight="1" ht="18.75">
      <c r="A1" s="9" t="s">
        <v>40</v>
      </c>
      <c r="B1" s="40">
        <v>100</v>
      </c>
      <c r="C1" s="95" t="s">
        <v>41</v>
      </c>
      <c r="D1" s="95" t="s">
        <v>42</v>
      </c>
      <c r="E1" s="96" t="s">
        <v>43</v>
      </c>
      <c r="F1" s="96" t="s">
        <v>44</v>
      </c>
      <c r="G1" s="96" t="s">
        <v>45</v>
      </c>
      <c r="H1" s="96"/>
      <c r="I1" s="95" t="s">
        <v>46</v>
      </c>
      <c r="J1" s="96">
        <v>3.15</v>
      </c>
      <c r="K1" s="40" t="s">
        <v>47</v>
      </c>
      <c r="L1" s="96">
        <f>J4-J3</f>
      </c>
      <c r="M1" s="40" t="s">
        <v>48</v>
      </c>
      <c r="N1" s="40">
        <v>300</v>
      </c>
      <c r="O1" s="22"/>
      <c r="P1" s="22"/>
      <c r="Q1" s="9" t="s">
        <v>49</v>
      </c>
      <c r="R1" s="40">
        <v>500</v>
      </c>
    </row>
    <row x14ac:dyDescent="0.25" r="2" customHeight="1" ht="18.75">
      <c r="A2" s="9" t="s">
        <v>50</v>
      </c>
      <c r="B2" s="40">
        <v>5</v>
      </c>
      <c r="C2" s="95"/>
      <c r="D2" s="95"/>
      <c r="E2" s="96" t="s">
        <v>51</v>
      </c>
      <c r="F2" s="96"/>
      <c r="G2" s="96"/>
      <c r="H2" s="96"/>
      <c r="I2" s="9" t="s">
        <v>52</v>
      </c>
      <c r="J2" s="96">
        <v>0.25</v>
      </c>
      <c r="K2" s="22" t="s">
        <v>53</v>
      </c>
      <c r="L2" s="96">
        <v>1.6</v>
      </c>
      <c r="M2" s="22" t="s">
        <v>54</v>
      </c>
      <c r="N2" s="40">
        <v>500</v>
      </c>
      <c r="O2" s="22"/>
      <c r="P2" s="22"/>
      <c r="Q2" s="9"/>
      <c r="R2" s="40"/>
    </row>
    <row x14ac:dyDescent="0.25" r="3" customHeight="1" ht="18.75">
      <c r="A3" s="9"/>
      <c r="B3" s="40"/>
      <c r="C3" s="95" t="s">
        <v>55</v>
      </c>
      <c r="D3" s="95" t="s">
        <v>8</v>
      </c>
      <c r="E3" s="40">
        <v>320</v>
      </c>
      <c r="F3" s="40">
        <v>17</v>
      </c>
      <c r="G3" s="40">
        <f>(E3*F3)</f>
      </c>
      <c r="H3" s="96"/>
      <c r="I3" s="9" t="s">
        <v>56</v>
      </c>
      <c r="J3" s="96">
        <v>1.05</v>
      </c>
      <c r="K3" s="22" t="s">
        <v>57</v>
      </c>
      <c r="L3" s="96">
        <v>1.8</v>
      </c>
      <c r="M3" s="22" t="s">
        <v>58</v>
      </c>
      <c r="N3" s="96">
        <v>0.007</v>
      </c>
      <c r="O3" s="22"/>
      <c r="P3" s="22"/>
      <c r="Q3" s="9"/>
      <c r="R3" s="40"/>
    </row>
    <row x14ac:dyDescent="0.25" r="4" customHeight="1" ht="18.75">
      <c r="A4" s="9"/>
      <c r="B4" s="40"/>
      <c r="C4" s="95" t="s">
        <v>59</v>
      </c>
      <c r="D4" s="95" t="s">
        <v>11</v>
      </c>
      <c r="E4" s="40">
        <v>2310</v>
      </c>
      <c r="F4" s="96">
        <v>1.35</v>
      </c>
      <c r="G4" s="96">
        <f>(E4*F4)</f>
      </c>
      <c r="H4" s="96"/>
      <c r="I4" s="9" t="s">
        <v>60</v>
      </c>
      <c r="J4" s="96">
        <v>2.3</v>
      </c>
      <c r="K4" s="22" t="s">
        <v>61</v>
      </c>
      <c r="L4" s="40">
        <v>1</v>
      </c>
      <c r="M4" s="22" t="s">
        <v>62</v>
      </c>
      <c r="N4" s="96">
        <v>0.04</v>
      </c>
      <c r="O4" s="22"/>
      <c r="P4" s="22"/>
      <c r="Q4" s="9" t="s">
        <v>63</v>
      </c>
      <c r="R4" s="40">
        <v>700</v>
      </c>
    </row>
    <row x14ac:dyDescent="0.25" r="5" customHeight="1" ht="18.75">
      <c r="A5" s="9"/>
      <c r="B5" s="40"/>
      <c r="C5" s="95" t="s">
        <v>64</v>
      </c>
      <c r="D5" s="95" t="s">
        <v>15</v>
      </c>
      <c r="E5" s="40">
        <v>115</v>
      </c>
      <c r="F5" s="40">
        <v>7</v>
      </c>
      <c r="G5" s="40">
        <f>(E5*F5)</f>
      </c>
      <c r="H5" s="96"/>
      <c r="I5" s="9" t="s">
        <v>65</v>
      </c>
      <c r="J5" s="96">
        <v>2.2</v>
      </c>
      <c r="K5" s="22" t="s">
        <v>66</v>
      </c>
      <c r="L5" s="40">
        <v>3</v>
      </c>
      <c r="M5" s="22" t="s">
        <v>67</v>
      </c>
      <c r="N5" s="40">
        <v>11000</v>
      </c>
      <c r="O5" s="22"/>
      <c r="P5" s="22"/>
      <c r="Q5" s="9" t="s">
        <v>68</v>
      </c>
      <c r="R5" s="40">
        <v>300</v>
      </c>
    </row>
    <row x14ac:dyDescent="0.25" r="6" customHeight="1" ht="18.75">
      <c r="A6" s="9"/>
      <c r="B6" s="97"/>
      <c r="C6" s="98" t="s">
        <v>69</v>
      </c>
      <c r="D6" s="99" t="s">
        <v>19</v>
      </c>
      <c r="E6" s="100">
        <v>6000</v>
      </c>
      <c r="F6" s="101">
        <v>0.25</v>
      </c>
      <c r="G6" s="100">
        <f>(E6*F6)</f>
      </c>
      <c r="H6" s="96"/>
      <c r="I6" s="9" t="s">
        <v>70</v>
      </c>
      <c r="J6" s="40">
        <v>4</v>
      </c>
      <c r="K6" s="22" t="s">
        <v>71</v>
      </c>
      <c r="L6" s="40">
        <v>5</v>
      </c>
      <c r="M6" s="22" t="s">
        <v>72</v>
      </c>
      <c r="N6" s="40">
        <v>5500</v>
      </c>
      <c r="O6" s="22"/>
      <c r="P6" s="22"/>
      <c r="Q6" s="9" t="s">
        <v>73</v>
      </c>
      <c r="R6" s="40">
        <v>250</v>
      </c>
    </row>
    <row x14ac:dyDescent="0.25" r="7" customHeight="1" ht="18.75">
      <c r="A7" s="9"/>
      <c r="B7" s="102"/>
      <c r="C7" s="103" t="s">
        <v>74</v>
      </c>
      <c r="D7" s="104"/>
      <c r="E7" s="96"/>
      <c r="F7" s="96"/>
      <c r="G7" s="96"/>
      <c r="H7" s="96"/>
      <c r="I7" s="9" t="s">
        <v>75</v>
      </c>
      <c r="J7" s="40">
        <v>300</v>
      </c>
      <c r="K7" s="22" t="s">
        <v>76</v>
      </c>
      <c r="L7" s="40">
        <v>1600</v>
      </c>
      <c r="M7" s="22"/>
      <c r="N7" s="22"/>
      <c r="O7" s="22"/>
      <c r="P7" s="22"/>
      <c r="Q7" s="9" t="s">
        <v>77</v>
      </c>
      <c r="R7" s="40">
        <v>500</v>
      </c>
    </row>
    <row x14ac:dyDescent="0.25" r="8" customHeight="1" ht="18.75">
      <c r="A8" s="9"/>
      <c r="B8" s="40"/>
      <c r="C8" s="95" t="s">
        <v>78</v>
      </c>
      <c r="D8" s="95" t="s">
        <v>19</v>
      </c>
      <c r="E8" s="40">
        <v>6500</v>
      </c>
      <c r="F8" s="96">
        <v>0.25</v>
      </c>
      <c r="G8" s="40">
        <f>(E8*F8)</f>
      </c>
      <c r="H8" s="96"/>
      <c r="I8" s="9"/>
      <c r="J8" s="22"/>
      <c r="K8" s="22"/>
      <c r="L8" s="22"/>
      <c r="M8" s="22"/>
      <c r="N8" s="22"/>
      <c r="O8" s="22"/>
      <c r="P8" s="22"/>
      <c r="Q8" s="9" t="s">
        <v>79</v>
      </c>
      <c r="R8" s="40">
        <v>700</v>
      </c>
    </row>
    <row x14ac:dyDescent="0.25" r="9" customHeight="1" ht="18.75">
      <c r="A9" s="9"/>
      <c r="B9" s="40"/>
      <c r="C9" s="95" t="s">
        <v>80</v>
      </c>
      <c r="D9" s="95"/>
      <c r="E9" s="40">
        <v>275</v>
      </c>
      <c r="F9" s="40">
        <v>1</v>
      </c>
      <c r="G9" s="40">
        <f>(E9*F9)</f>
      </c>
      <c r="H9" s="96"/>
      <c r="I9" s="95" t="s">
        <v>81</v>
      </c>
      <c r="J9" s="40">
        <v>1</v>
      </c>
      <c r="K9" s="22"/>
      <c r="L9" s="22"/>
      <c r="M9" s="22"/>
      <c r="N9" s="22"/>
      <c r="O9" s="22"/>
      <c r="P9" s="22"/>
      <c r="Q9" s="9" t="s">
        <v>82</v>
      </c>
      <c r="R9" s="40">
        <v>500</v>
      </c>
    </row>
    <row x14ac:dyDescent="0.25" r="10" customHeight="1" ht="18.75">
      <c r="A10" s="9"/>
      <c r="B10" s="40"/>
      <c r="C10" s="95" t="s">
        <v>83</v>
      </c>
      <c r="D10" s="95"/>
      <c r="E10" s="40">
        <v>300</v>
      </c>
      <c r="F10" s="40">
        <v>1</v>
      </c>
      <c r="G10" s="40">
        <f>(E10*F10)</f>
      </c>
      <c r="H10" s="96"/>
      <c r="I10" s="95" t="s">
        <v>84</v>
      </c>
      <c r="J10" s="40">
        <v>6400</v>
      </c>
      <c r="K10" s="22"/>
      <c r="L10" s="22"/>
      <c r="M10" s="22"/>
      <c r="N10" s="22"/>
      <c r="O10" s="22"/>
      <c r="P10" s="22"/>
      <c r="Q10" s="9" t="s">
        <v>85</v>
      </c>
      <c r="R10" s="40">
        <v>500</v>
      </c>
    </row>
    <row x14ac:dyDescent="0.25" r="11" customHeight="1" ht="18.75">
      <c r="A11" s="9"/>
      <c r="B11" s="40"/>
      <c r="C11" s="95" t="s">
        <v>86</v>
      </c>
      <c r="D11" s="95" t="s">
        <v>19</v>
      </c>
      <c r="E11" s="96"/>
      <c r="F11" s="96"/>
      <c r="G11" s="40">
        <v>2700</v>
      </c>
      <c r="H11" s="96"/>
      <c r="I11" s="95" t="s">
        <v>87</v>
      </c>
      <c r="J11" s="40">
        <v>4600</v>
      </c>
      <c r="K11" s="22"/>
      <c r="L11" s="22"/>
      <c r="M11" s="22"/>
      <c r="N11" s="22"/>
      <c r="O11" s="22"/>
      <c r="P11" s="22"/>
      <c r="Q11" s="9" t="s">
        <v>77</v>
      </c>
      <c r="R11" s="40"/>
    </row>
    <row x14ac:dyDescent="0.25" r="12" customHeight="1" ht="18.75">
      <c r="A12" s="9"/>
      <c r="B12" s="105"/>
      <c r="C12" s="106" t="s">
        <v>88</v>
      </c>
      <c r="D12" s="106"/>
      <c r="E12" s="107">
        <v>1300</v>
      </c>
      <c r="F12" s="107">
        <v>1</v>
      </c>
      <c r="G12" s="107">
        <f>(E12*F12)</f>
      </c>
      <c r="H12" s="108">
        <f>SUM(G3:G11)</f>
      </c>
      <c r="I12" s="95" t="s">
        <v>89</v>
      </c>
      <c r="J12" s="40">
        <v>2650</v>
      </c>
      <c r="K12" s="22"/>
      <c r="L12" s="22"/>
      <c r="M12" s="22"/>
      <c r="N12" s="22"/>
      <c r="O12" s="22"/>
      <c r="P12" s="22"/>
      <c r="Q12" s="9" t="s">
        <v>77</v>
      </c>
      <c r="R12" s="40"/>
    </row>
    <row x14ac:dyDescent="0.25" r="13" customHeight="1" ht="18.75">
      <c r="A13" s="9"/>
      <c r="B13" s="40"/>
      <c r="C13" s="95" t="s">
        <v>90</v>
      </c>
      <c r="D13" s="95" t="s">
        <v>91</v>
      </c>
      <c r="E13" s="109">
        <f>N1+N2+( N3*(E8*1.5))+( N4*E4)</f>
      </c>
      <c r="F13" s="109">
        <f>J6*(J1+J2)*B2+1.5</f>
      </c>
      <c r="G13" s="96">
        <f>(F13*E13)/B1</f>
      </c>
      <c r="H13" s="110"/>
      <c r="I13" s="95" t="s">
        <v>92</v>
      </c>
      <c r="J13" s="40">
        <v>1500</v>
      </c>
      <c r="K13" s="22"/>
      <c r="L13" s="22"/>
      <c r="M13" s="22"/>
      <c r="N13" s="22"/>
      <c r="O13" s="22"/>
      <c r="P13" s="22"/>
      <c r="Q13" s="9" t="s">
        <v>77</v>
      </c>
      <c r="R13" s="40"/>
    </row>
    <row x14ac:dyDescent="0.25" r="14" customHeight="1" ht="18.75">
      <c r="A14" s="9"/>
      <c r="B14" s="40"/>
      <c r="C14" s="95" t="s">
        <v>93</v>
      </c>
      <c r="D14" s="95" t="s">
        <v>91</v>
      </c>
      <c r="E14" s="109">
        <f>((J12+J13)*7)+(J14+J15)*4+(L7/3)+(R4*8)</f>
      </c>
      <c r="F14" s="110"/>
      <c r="G14" s="111">
        <f>E14/B1</f>
      </c>
      <c r="H14" s="112">
        <f>SUM(G3:G14)</f>
      </c>
      <c r="I14" s="95" t="s">
        <v>94</v>
      </c>
      <c r="J14" s="40">
        <v>800</v>
      </c>
      <c r="K14" s="22"/>
      <c r="L14" s="22"/>
      <c r="M14" s="22"/>
      <c r="N14" s="22"/>
      <c r="O14" s="22"/>
      <c r="P14" s="22"/>
      <c r="Q14" s="9" t="s">
        <v>95</v>
      </c>
      <c r="R14" s="40">
        <v>700</v>
      </c>
    </row>
    <row x14ac:dyDescent="0.25" r="15" customHeight="1" ht="18.75">
      <c r="A15" s="9"/>
      <c r="B15" s="40"/>
      <c r="C15" s="95" t="s">
        <v>96</v>
      </c>
      <c r="D15" s="95"/>
      <c r="E15" s="113">
        <v>0</v>
      </c>
      <c r="F15" s="110"/>
      <c r="G15" s="113">
        <v>0</v>
      </c>
      <c r="H15" s="110"/>
      <c r="I15" s="95" t="s">
        <v>97</v>
      </c>
      <c r="J15" s="40">
        <v>700</v>
      </c>
      <c r="K15" s="22"/>
      <c r="L15" s="22"/>
      <c r="M15" s="22"/>
      <c r="N15" s="22"/>
      <c r="O15" s="22"/>
      <c r="P15" s="22"/>
      <c r="Q15" s="9"/>
      <c r="R15" s="22"/>
    </row>
    <row x14ac:dyDescent="0.25" r="16" customHeight="1" ht="18.75">
      <c r="A16" s="9"/>
      <c r="B16" s="40"/>
      <c r="C16" s="95" t="s">
        <v>98</v>
      </c>
      <c r="D16" s="95"/>
      <c r="E16" s="113">
        <f>(SQRT(B1)*4)*(10*E5+R6)+E4+E4+(0.25*N6 )</f>
      </c>
      <c r="F16" s="110"/>
      <c r="G16" s="109">
        <f>E14/B1</f>
      </c>
      <c r="H16" s="110"/>
      <c r="I16" s="95" t="s">
        <v>99</v>
      </c>
      <c r="J16" s="40">
        <v>1000</v>
      </c>
      <c r="K16" s="22"/>
      <c r="L16" s="22"/>
      <c r="M16" s="22"/>
      <c r="N16" s="22"/>
      <c r="O16" s="22"/>
      <c r="P16" s="22"/>
      <c r="Q16" s="9"/>
      <c r="R16" s="22"/>
    </row>
    <row x14ac:dyDescent="0.25" r="17" customHeight="1" ht="18.75">
      <c r="A17" s="9"/>
      <c r="B17" s="40"/>
      <c r="C17" s="95" t="s">
        <v>100</v>
      </c>
      <c r="D17" s="95"/>
      <c r="E17" s="109">
        <f>(SQRT(B1)*3*3.5*R14)+(SQRT(B1)*3*3.5*0.015*9*E4)+(SQRT(B1)*3*3.5*0.015*9*N5)</f>
      </c>
      <c r="F17" s="110"/>
      <c r="G17" s="109">
        <f>E17/B1</f>
      </c>
      <c r="H17" s="110"/>
      <c r="I17" s="95" t="s">
        <v>101</v>
      </c>
      <c r="J17" s="40"/>
      <c r="K17" s="22"/>
      <c r="L17" s="22"/>
      <c r="M17" s="22"/>
      <c r="N17" s="22"/>
      <c r="O17" s="22"/>
      <c r="P17" s="22"/>
      <c r="Q17" s="9"/>
      <c r="R17" s="22"/>
    </row>
    <row x14ac:dyDescent="0.25" r="18" customHeight="1" ht="18.75">
      <c r="A18" s="9"/>
      <c r="B18" s="40"/>
      <c r="C18" s="95" t="s">
        <v>102</v>
      </c>
      <c r="D18" s="95"/>
      <c r="E18" s="109">
        <f>(SQRT(B1)*4*3.25*R6)+((SQRT(B1)*3*3.25)/0.08)*J20+((SQRT(B1)*3*3.25)/0.08)/(80)*E4+((SQRT(B1)*3*3.25)/0.08)/(80)*0.2*N6</f>
      </c>
      <c r="F18" s="110"/>
      <c r="G18" s="109">
        <f>E18/B1</f>
      </c>
      <c r="H18" s="110"/>
      <c r="I18" s="95"/>
      <c r="J18" s="40"/>
      <c r="K18" s="22"/>
      <c r="L18" s="22"/>
      <c r="M18" s="22"/>
      <c r="N18" s="22"/>
      <c r="O18" s="22"/>
      <c r="P18" s="22"/>
      <c r="Q18" s="9"/>
      <c r="R18" s="22"/>
    </row>
    <row x14ac:dyDescent="0.25" r="19" customHeight="1" ht="18.75">
      <c r="A19" s="9"/>
      <c r="B19" s="40"/>
      <c r="C19" s="95" t="s">
        <v>103</v>
      </c>
      <c r="D19" s="95"/>
      <c r="E19" s="113">
        <v>40000</v>
      </c>
      <c r="F19" s="110"/>
      <c r="G19" s="113">
        <f>E19/B1</f>
      </c>
      <c r="H19" s="110"/>
      <c r="I19" s="95" t="s">
        <v>104</v>
      </c>
      <c r="J19" s="40">
        <v>95</v>
      </c>
      <c r="K19" s="22"/>
      <c r="L19" s="22"/>
      <c r="M19" s="22"/>
      <c r="N19" s="22"/>
      <c r="O19" s="22"/>
      <c r="P19" s="22"/>
      <c r="Q19" s="9"/>
      <c r="R19" s="22"/>
    </row>
    <row x14ac:dyDescent="0.25" r="20" customHeight="1" ht="18.75">
      <c r="A20" s="9"/>
      <c r="B20" s="40"/>
      <c r="C20" s="95" t="s">
        <v>105</v>
      </c>
      <c r="D20" s="95"/>
      <c r="E20" s="113">
        <f>((((B1/8)*4)/L6)+( 0.5))*(7*E4+1.3*E8+E6+E3*70)</f>
      </c>
      <c r="F20" s="110"/>
      <c r="G20" s="109">
        <f>E20/B1</f>
      </c>
      <c r="H20" s="110"/>
      <c r="I20" s="95" t="s">
        <v>106</v>
      </c>
      <c r="J20" s="40">
        <v>100</v>
      </c>
      <c r="K20" s="22"/>
      <c r="L20" s="22"/>
      <c r="M20" s="113">
        <f>((B1/8)*6)/L6</f>
      </c>
      <c r="N20" s="22"/>
      <c r="O20" s="22"/>
      <c r="P20" s="22"/>
      <c r="Q20" s="9"/>
      <c r="R20" s="22"/>
    </row>
    <row x14ac:dyDescent="0.25" r="21" customHeight="1" ht="18.75">
      <c r="A21" s="9"/>
      <c r="B21" s="40"/>
      <c r="C21" s="95" t="s">
        <v>107</v>
      </c>
      <c r="D21" s="95"/>
      <c r="E21" s="110"/>
      <c r="F21" s="110"/>
      <c r="G21" s="113">
        <v>250</v>
      </c>
      <c r="H21" s="110"/>
      <c r="I21" s="95" t="s">
        <v>108</v>
      </c>
      <c r="J21" s="40">
        <v>14000</v>
      </c>
      <c r="K21" s="22"/>
      <c r="L21" s="22"/>
      <c r="M21" s="22"/>
      <c r="N21" s="22"/>
      <c r="O21" s="22"/>
      <c r="P21" s="22"/>
      <c r="Q21" s="9"/>
      <c r="R21" s="22"/>
    </row>
    <row x14ac:dyDescent="0.25" r="22" customHeight="1" ht="18.75">
      <c r="A22" s="9"/>
      <c r="B22" s="40"/>
      <c r="C22" s="95" t="s">
        <v>109</v>
      </c>
      <c r="D22" s="95" t="s">
        <v>19</v>
      </c>
      <c r="E22" s="109">
        <f>400000/(L5*L6)</f>
      </c>
      <c r="F22" s="110"/>
      <c r="G22" s="109">
        <f>E22/B1</f>
      </c>
      <c r="H22" s="110"/>
      <c r="I22" s="95" t="s">
        <v>110</v>
      </c>
      <c r="J22" s="40">
        <v>7000</v>
      </c>
      <c r="K22" s="22"/>
      <c r="L22" s="22"/>
      <c r="M22" s="22"/>
      <c r="N22" s="22"/>
      <c r="O22" s="22"/>
      <c r="P22" s="22"/>
      <c r="Q22" s="9"/>
      <c r="R22" s="22"/>
    </row>
    <row x14ac:dyDescent="0.25" r="23" customHeight="1" ht="18.75">
      <c r="A23" s="9"/>
      <c r="B23" s="40"/>
      <c r="C23" s="95" t="s">
        <v>111</v>
      </c>
      <c r="D23" s="95"/>
      <c r="E23" s="110"/>
      <c r="F23" s="110"/>
      <c r="G23" s="113">
        <v>2000</v>
      </c>
      <c r="H23" s="110"/>
      <c r="I23" s="9"/>
      <c r="J23" s="22"/>
      <c r="K23" s="22"/>
      <c r="L23" s="22"/>
      <c r="M23" s="22"/>
      <c r="N23" s="22"/>
      <c r="O23" s="22"/>
      <c r="P23" s="22"/>
      <c r="Q23" s="9"/>
      <c r="R23" s="22"/>
    </row>
    <row x14ac:dyDescent="0.25" r="24" customHeight="1" ht="18.75">
      <c r="A24" s="9"/>
      <c r="B24" s="22"/>
      <c r="C24" s="9"/>
      <c r="D24" s="59"/>
      <c r="E24" s="110"/>
      <c r="F24" s="110"/>
      <c r="G24" s="109">
        <f>SUM(G3:G23)</f>
      </c>
      <c r="H24" s="110"/>
      <c r="I24" s="9"/>
      <c r="J24" s="22"/>
      <c r="K24" s="22"/>
      <c r="L24" s="22"/>
      <c r="M24" s="22"/>
      <c r="N24" s="22"/>
      <c r="O24" s="22"/>
      <c r="P24" s="22"/>
      <c r="Q24" s="9"/>
      <c r="R24" s="22"/>
    </row>
    <row x14ac:dyDescent="0.25" r="25" customHeight="1" ht="18.75">
      <c r="A25" s="9"/>
      <c r="B25" s="22"/>
      <c r="C25" s="95" t="s">
        <v>112</v>
      </c>
      <c r="D25" s="59"/>
      <c r="E25" s="110"/>
      <c r="F25" s="110"/>
      <c r="G25" s="109">
        <f>G24*1.48</f>
      </c>
      <c r="H25" s="110"/>
      <c r="I25" s="9"/>
      <c r="J25" s="22"/>
      <c r="K25" s="22"/>
      <c r="L25" s="22"/>
      <c r="M25" s="22"/>
      <c r="N25" s="22"/>
      <c r="O25" s="22"/>
      <c r="P25" s="22"/>
      <c r="Q25" s="9"/>
      <c r="R25" s="22"/>
    </row>
    <row x14ac:dyDescent="0.25" r="26" customHeight="1" ht="18.75">
      <c r="A26" s="9"/>
      <c r="B26" s="22"/>
      <c r="C26" s="95" t="s">
        <v>113</v>
      </c>
      <c r="D26" s="95"/>
      <c r="E26" s="110"/>
      <c r="F26" s="110"/>
      <c r="G26" s="109">
        <f>G25*1.09</f>
      </c>
      <c r="H26" s="110"/>
      <c r="I26" s="9"/>
      <c r="J26" s="22"/>
      <c r="K26" s="22"/>
      <c r="L26" s="22"/>
      <c r="M26" s="22"/>
      <c r="N26" s="22"/>
      <c r="O26" s="22"/>
      <c r="P26" s="22"/>
      <c r="Q26" s="9"/>
      <c r="R26" s="22"/>
    </row>
    <row x14ac:dyDescent="0.25" r="27" customHeight="1" ht="18.75">
      <c r="A27" s="9"/>
      <c r="B27" s="22"/>
      <c r="C27" s="95" t="s">
        <v>114</v>
      </c>
      <c r="D27" s="95"/>
      <c r="E27" s="110"/>
      <c r="F27" s="110"/>
      <c r="G27" s="109">
        <f>G26*1.06</f>
      </c>
      <c r="H27" s="110"/>
      <c r="I27" s="9" t="s">
        <v>115</v>
      </c>
      <c r="J27" s="40" t="s">
        <v>116</v>
      </c>
      <c r="K27" s="40" t="s">
        <v>117</v>
      </c>
      <c r="L27" s="40" t="s">
        <v>118</v>
      </c>
      <c r="M27" s="40">
        <v>1</v>
      </c>
      <c r="N27" s="40">
        <v>2</v>
      </c>
      <c r="O27" s="40">
        <v>3</v>
      </c>
      <c r="P27" s="40">
        <v>4</v>
      </c>
      <c r="Q27" s="9"/>
      <c r="R27" s="22"/>
    </row>
    <row x14ac:dyDescent="0.25" r="28" customHeight="1" ht="18.75">
      <c r="A28" s="9"/>
      <c r="B28" s="22"/>
      <c r="C28" s="9"/>
      <c r="D28" s="95"/>
      <c r="E28" s="110"/>
      <c r="F28" s="110"/>
      <c r="G28" s="110"/>
      <c r="H28" s="110"/>
      <c r="I28" s="9" t="s">
        <v>50</v>
      </c>
      <c r="J28" s="40">
        <v>7</v>
      </c>
      <c r="K28" s="40">
        <v>6</v>
      </c>
      <c r="L28" s="40">
        <v>5</v>
      </c>
      <c r="M28" s="40">
        <v>4</v>
      </c>
      <c r="N28" s="40">
        <v>3</v>
      </c>
      <c r="O28" s="40">
        <v>2</v>
      </c>
      <c r="P28" s="40">
        <v>1</v>
      </c>
      <c r="Q28" s="9"/>
      <c r="R28" s="22"/>
    </row>
    <row x14ac:dyDescent="0.25" r="29" customHeight="1" ht="18.75">
      <c r="A29" s="9"/>
      <c r="B29" s="22"/>
      <c r="C29" s="9"/>
      <c r="D29" s="95"/>
      <c r="E29" s="110"/>
      <c r="F29" s="110"/>
      <c r="G29" s="110"/>
      <c r="H29" s="110"/>
      <c r="I29" s="9"/>
      <c r="J29" s="22"/>
      <c r="K29" s="22"/>
      <c r="L29" s="22"/>
      <c r="M29" s="22"/>
      <c r="N29" s="22"/>
      <c r="O29" s="22"/>
      <c r="P29" s="22"/>
      <c r="Q29" s="9"/>
      <c r="R29" s="22"/>
    </row>
    <row x14ac:dyDescent="0.25" r="30" customHeight="1" ht="18.75">
      <c r="A30" s="9"/>
      <c r="B30" s="22"/>
      <c r="C30" s="9"/>
      <c r="D30" s="95"/>
      <c r="E30" s="110"/>
      <c r="F30" s="110"/>
      <c r="G30" s="110"/>
      <c r="H30" s="110"/>
      <c r="I30" s="9"/>
      <c r="J30" s="22"/>
      <c r="K30" s="22"/>
      <c r="L30" s="22"/>
      <c r="M30" s="22"/>
      <c r="N30" s="22"/>
      <c r="O30" s="22"/>
      <c r="P30" s="22"/>
      <c r="Q30" s="9"/>
      <c r="R30" s="22"/>
    </row>
  </sheetData>
  <mergeCells count="6">
    <mergeCell ref="E2:G2"/>
    <mergeCell ref="B6:B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2"/>
  <sheetViews>
    <sheetView workbookViewId="0"/>
  </sheetViews>
  <sheetFormatPr defaultRowHeight="15" x14ac:dyDescent="0.25"/>
  <cols>
    <col min="1" max="1" style="91" width="14.290714285714287" customWidth="1" bestFit="1"/>
    <col min="2" max="2" style="92" width="15.005" customWidth="1" bestFit="1"/>
    <col min="3" max="3" style="92" width="4.433571428571429" customWidth="1" bestFit="1"/>
    <col min="4" max="4" style="91" width="8.290714285714287" customWidth="1" bestFit="1"/>
    <col min="5" max="5" style="91" width="2.4335714285714283" customWidth="1" bestFit="1"/>
    <col min="6" max="6" style="91" width="17.14785714285714" customWidth="1" bestFit="1"/>
    <col min="7" max="7" style="92" width="27.433571428571426" customWidth="1" bestFit="1"/>
    <col min="8" max="8" style="93" width="9.719285714285713" customWidth="1" bestFit="1"/>
    <col min="9" max="9" style="94" width="9.005" customWidth="1" bestFit="1"/>
    <col min="10" max="10" style="92" width="9.43357142857143" customWidth="1" bestFit="1"/>
    <col min="11" max="11" style="91" width="13.576428571428572" customWidth="1" bestFit="1"/>
    <col min="12" max="12" style="91" width="13.576428571428572" customWidth="1" bestFit="1"/>
  </cols>
  <sheetData>
    <row x14ac:dyDescent="0.25" r="1" customHeight="1" ht="21">
      <c r="A1" s="1" t="s">
        <v>0</v>
      </c>
      <c r="B1" s="2"/>
      <c r="C1" s="3"/>
      <c r="D1" s="4"/>
      <c r="E1" s="4"/>
      <c r="F1" s="4"/>
      <c r="G1" s="3" t="s">
        <v>1</v>
      </c>
      <c r="H1" s="5" t="s">
        <v>2</v>
      </c>
      <c r="I1" s="6"/>
      <c r="J1" s="7" t="s">
        <v>3</v>
      </c>
      <c r="K1" s="8"/>
      <c r="L1" s="9"/>
    </row>
    <row x14ac:dyDescent="0.25" r="2" customHeight="1" ht="18.75">
      <c r="A2" s="10" t="s">
        <v>4</v>
      </c>
      <c r="B2" s="11"/>
      <c r="C2" s="11"/>
      <c r="D2" s="12"/>
      <c r="E2" s="12"/>
      <c r="F2" s="12"/>
      <c r="G2" s="11"/>
      <c r="H2" s="13"/>
      <c r="I2" s="6"/>
      <c r="J2" s="14"/>
      <c r="K2" s="15"/>
      <c r="L2" s="9"/>
    </row>
    <row x14ac:dyDescent="0.25" r="3" customHeight="1" ht="18.75">
      <c r="A3" s="16" t="s">
        <v>5</v>
      </c>
      <c r="B3" s="17"/>
      <c r="C3" s="17"/>
      <c r="D3" s="16"/>
      <c r="E3" s="16" t="s">
        <v>6</v>
      </c>
      <c r="F3" s="16"/>
      <c r="G3" s="18">
        <f>ورقة1!E31</f>
      </c>
      <c r="H3" s="13" t="s">
        <v>7</v>
      </c>
      <c r="I3" s="19">
        <f>ورقة1!N4</f>
      </c>
      <c r="J3" s="20">
        <v>30</v>
      </c>
      <c r="K3" s="21" t="s">
        <v>8</v>
      </c>
      <c r="L3" s="9"/>
    </row>
    <row x14ac:dyDescent="0.25" r="4" customHeight="1" ht="18.75">
      <c r="A4" s="9"/>
      <c r="B4" s="22"/>
      <c r="C4" s="22"/>
      <c r="D4" s="9"/>
      <c r="E4" s="23" t="s">
        <v>9</v>
      </c>
      <c r="F4" s="23"/>
      <c r="G4" s="18">
        <f>G5</f>
      </c>
      <c r="H4" s="24" t="s">
        <v>10</v>
      </c>
      <c r="I4" s="19">
        <f>ورقة1!N5</f>
      </c>
      <c r="J4" s="20">
        <v>4</v>
      </c>
      <c r="K4" s="21" t="s">
        <v>11</v>
      </c>
      <c r="L4" s="9"/>
    </row>
    <row x14ac:dyDescent="0.25" r="5" customHeight="1" ht="18.75">
      <c r="A5" s="25" t="s">
        <v>12</v>
      </c>
      <c r="B5" s="18">
        <v>19</v>
      </c>
      <c r="C5" s="18"/>
      <c r="D5" s="23"/>
      <c r="E5" s="23" t="s">
        <v>13</v>
      </c>
      <c r="F5" s="23"/>
      <c r="G5" s="18">
        <f>G3</f>
      </c>
      <c r="H5" s="26" t="s">
        <v>14</v>
      </c>
      <c r="I5" s="27">
        <f>ورقة1!N6</f>
      </c>
      <c r="J5" s="20">
        <v>50</v>
      </c>
      <c r="K5" s="21" t="s">
        <v>15</v>
      </c>
      <c r="L5" s="9"/>
    </row>
    <row x14ac:dyDescent="0.25" r="6" customHeight="1" ht="22.5">
      <c r="A6" s="25" t="s">
        <v>16</v>
      </c>
      <c r="B6" s="28" t="s">
        <v>17</v>
      </c>
      <c r="C6" s="28"/>
      <c r="D6" s="29"/>
      <c r="E6" s="30"/>
      <c r="F6" s="30"/>
      <c r="G6" s="31"/>
      <c r="H6" s="24" t="s">
        <v>18</v>
      </c>
      <c r="I6" s="19">
        <f>ورقة1!N7</f>
      </c>
      <c r="J6" s="20">
        <v>1</v>
      </c>
      <c r="K6" s="21" t="s">
        <v>19</v>
      </c>
      <c r="L6" s="9"/>
    </row>
    <row x14ac:dyDescent="0.25" r="7" customHeight="1" ht="18.75">
      <c r="A7" s="25" t="s">
        <v>20</v>
      </c>
      <c r="B7" s="18">
        <v>279</v>
      </c>
      <c r="C7" s="18"/>
      <c r="D7" s="23"/>
      <c r="E7" s="30"/>
      <c r="F7" s="30"/>
      <c r="G7" s="31"/>
      <c r="H7" s="26" t="s">
        <v>21</v>
      </c>
      <c r="I7" s="27">
        <f>ورقة1!N9</f>
      </c>
      <c r="J7" s="20">
        <v>2</v>
      </c>
      <c r="K7" s="21" t="s">
        <v>19</v>
      </c>
      <c r="L7" s="9"/>
    </row>
    <row x14ac:dyDescent="0.25" r="8" customHeight="1" ht="24.75">
      <c r="A8" s="25" t="s">
        <v>22</v>
      </c>
      <c r="B8" s="32">
        <f>ورقة1!H48</f>
      </c>
      <c r="C8" s="33" t="s">
        <v>23</v>
      </c>
      <c r="D8" s="34"/>
      <c r="E8" s="34"/>
      <c r="F8" s="34"/>
      <c r="G8" s="35"/>
      <c r="H8" s="36" t="s">
        <v>24</v>
      </c>
      <c r="I8" s="37">
        <f>ورقة1!N10</f>
      </c>
      <c r="J8" s="20">
        <v>1</v>
      </c>
      <c r="K8" s="21" t="s">
        <v>25</v>
      </c>
      <c r="L8" s="9"/>
    </row>
    <row x14ac:dyDescent="0.25" r="9" customHeight="1" ht="24">
      <c r="A9" s="30" t="s">
        <v>26</v>
      </c>
      <c r="B9" s="32">
        <f>ورقة1!B6</f>
      </c>
      <c r="C9" s="22"/>
      <c r="D9" s="9"/>
      <c r="E9" s="38" t="s">
        <v>27</v>
      </c>
      <c r="F9" s="38"/>
      <c r="G9" s="22"/>
      <c r="H9" s="26" t="s">
        <v>28</v>
      </c>
      <c r="I9" s="39">
        <f>ورقة1!G31</f>
      </c>
      <c r="J9" s="40"/>
      <c r="K9" s="9"/>
      <c r="L9" s="9"/>
    </row>
    <row x14ac:dyDescent="0.25" r="10" customHeight="1" ht="18.75">
      <c r="A10" s="41" t="s">
        <v>29</v>
      </c>
      <c r="B10" s="42"/>
      <c r="C10" s="43" t="s">
        <v>30</v>
      </c>
      <c r="D10" s="44"/>
      <c r="E10" s="45"/>
      <c r="F10" s="46"/>
      <c r="G10" s="47" t="s">
        <v>31</v>
      </c>
      <c r="H10" s="48" t="s">
        <v>32</v>
      </c>
      <c r="I10" s="49">
        <f>ورقة1!H50</f>
      </c>
      <c r="J10" s="22"/>
      <c r="K10" s="9"/>
      <c r="L10" s="9"/>
    </row>
    <row x14ac:dyDescent="0.25" r="11" customHeight="1" ht="28.5">
      <c r="A11" s="38"/>
      <c r="B11" s="42"/>
      <c r="C11" s="43">
        <v>31000000</v>
      </c>
      <c r="D11" s="50"/>
      <c r="E11" s="51" t="s">
        <v>33</v>
      </c>
      <c r="F11" s="52"/>
      <c r="G11" s="53">
        <f>ورقة1!B31</f>
      </c>
      <c r="H11" s="54"/>
      <c r="I11" s="55"/>
      <c r="J11" s="56"/>
      <c r="K11" s="9"/>
      <c r="L11" s="57"/>
    </row>
    <row x14ac:dyDescent="0.25" r="12" customHeight="1" ht="18.75">
      <c r="A12" s="25"/>
      <c r="B12" s="58"/>
      <c r="C12" s="22"/>
      <c r="D12" s="9"/>
      <c r="E12" s="34"/>
      <c r="F12" s="34"/>
      <c r="G12" s="33"/>
      <c r="H12" s="59"/>
      <c r="I12" s="60"/>
      <c r="J12" s="22"/>
      <c r="K12" s="9"/>
      <c r="L12" s="9"/>
    </row>
    <row x14ac:dyDescent="0.25" r="13" customHeight="1" ht="18.75">
      <c r="A13" s="25" t="s">
        <v>34</v>
      </c>
      <c r="B13" s="58" t="s">
        <v>35</v>
      </c>
      <c r="C13" s="22"/>
      <c r="D13" s="9"/>
      <c r="E13" s="25"/>
      <c r="F13" s="25"/>
      <c r="G13" s="18" t="s">
        <v>36</v>
      </c>
      <c r="H13" s="59"/>
      <c r="I13" s="60"/>
      <c r="J13" s="22"/>
      <c r="K13" s="9"/>
      <c r="L13" s="9"/>
    </row>
    <row x14ac:dyDescent="0.25" r="14" customHeight="1" ht="18.75">
      <c r="A14" s="9"/>
      <c r="B14" s="61" t="s">
        <v>37</v>
      </c>
      <c r="C14" s="22"/>
      <c r="D14" s="9"/>
      <c r="E14" s="9"/>
      <c r="F14" s="9"/>
      <c r="G14" s="22"/>
      <c r="H14" s="59"/>
      <c r="I14" s="60"/>
      <c r="J14" s="22"/>
      <c r="K14" s="9"/>
      <c r="L14" s="9"/>
    </row>
    <row x14ac:dyDescent="0.25" r="15" customHeight="1" ht="18.75">
      <c r="A15" s="9"/>
      <c r="B15" s="61" t="s">
        <v>38</v>
      </c>
      <c r="C15" s="22"/>
      <c r="D15" s="9"/>
      <c r="E15" s="9"/>
      <c r="F15" s="9"/>
      <c r="G15" s="22"/>
      <c r="H15" s="59"/>
      <c r="I15" s="60"/>
      <c r="J15" s="22"/>
      <c r="K15" s="9"/>
      <c r="L15" s="9"/>
    </row>
    <row x14ac:dyDescent="0.25" r="16" customHeight="1" ht="18.75">
      <c r="A16" s="9"/>
      <c r="B16" s="22"/>
      <c r="C16" s="22"/>
      <c r="D16" s="9"/>
      <c r="E16" s="9"/>
      <c r="F16" s="9"/>
      <c r="G16" s="22"/>
      <c r="H16" s="59"/>
      <c r="I16" s="60"/>
      <c r="J16" s="22"/>
      <c r="K16" s="9"/>
      <c r="L16" s="9"/>
    </row>
    <row x14ac:dyDescent="0.25" r="17" customHeight="1" ht="18.75">
      <c r="A17" s="9"/>
      <c r="B17" s="22"/>
      <c r="C17" s="22"/>
      <c r="D17" s="9"/>
      <c r="E17" s="9"/>
      <c r="F17" s="9"/>
      <c r="G17" s="22"/>
      <c r="H17" s="59"/>
      <c r="I17" s="60"/>
      <c r="J17" s="22"/>
      <c r="K17" s="9"/>
      <c r="L17" s="9"/>
    </row>
    <row x14ac:dyDescent="0.25" r="18" customHeight="1" ht="18.75">
      <c r="A18" s="9"/>
      <c r="B18" s="22"/>
      <c r="C18" s="22"/>
      <c r="D18" s="9"/>
      <c r="E18" s="9"/>
      <c r="F18" s="9"/>
      <c r="G18" s="22"/>
      <c r="H18" s="59"/>
      <c r="I18" s="60"/>
      <c r="J18" s="22"/>
      <c r="K18" s="9"/>
      <c r="L18" s="9"/>
    </row>
    <row x14ac:dyDescent="0.25" r="19" customHeight="1" ht="18.75">
      <c r="A19" s="9"/>
      <c r="B19" s="22"/>
      <c r="C19" s="22"/>
      <c r="D19" s="9"/>
      <c r="E19" s="9"/>
      <c r="F19" s="9"/>
      <c r="G19" s="22"/>
      <c r="H19" s="59"/>
      <c r="I19" s="60"/>
      <c r="J19" s="22"/>
      <c r="K19" s="9"/>
      <c r="L19" s="9"/>
    </row>
    <row x14ac:dyDescent="0.25" r="20" customHeight="1" ht="18.75">
      <c r="A20" s="9"/>
      <c r="B20" s="22"/>
      <c r="C20" s="22"/>
      <c r="D20" s="9"/>
      <c r="E20" s="9"/>
      <c r="F20" s="9"/>
      <c r="G20" s="22"/>
      <c r="H20" s="59"/>
      <c r="I20" s="60"/>
      <c r="J20" s="22"/>
      <c r="K20" s="9"/>
      <c r="L20" s="9"/>
    </row>
    <row x14ac:dyDescent="0.25" r="21" customHeight="1" ht="18.75">
      <c r="A21" s="9"/>
      <c r="B21" s="22"/>
      <c r="C21" s="22"/>
      <c r="D21" s="9"/>
      <c r="E21" s="9"/>
      <c r="F21" s="9"/>
      <c r="G21" s="22"/>
      <c r="H21" s="59"/>
      <c r="I21" s="60"/>
      <c r="J21" s="22"/>
      <c r="K21" s="9"/>
      <c r="L21" s="9"/>
    </row>
    <row x14ac:dyDescent="0.25" r="22" customHeight="1" ht="18.75">
      <c r="A22" s="9"/>
      <c r="B22" s="22"/>
      <c r="C22" s="22"/>
      <c r="D22" s="9"/>
      <c r="E22" s="9"/>
      <c r="F22" s="9"/>
      <c r="G22" s="22"/>
      <c r="H22" s="59"/>
      <c r="I22" s="60"/>
      <c r="J22" s="22"/>
      <c r="K22" s="9"/>
      <c r="L22" s="9"/>
    </row>
    <row x14ac:dyDescent="0.25" r="23" customHeight="1" ht="18.75">
      <c r="A23" s="9"/>
      <c r="B23" s="22"/>
      <c r="C23" s="22"/>
      <c r="D23" s="9"/>
      <c r="E23" s="9"/>
      <c r="F23" s="9"/>
      <c r="G23" s="22"/>
      <c r="H23" s="59"/>
      <c r="I23" s="60"/>
      <c r="J23" s="22"/>
      <c r="K23" s="9"/>
      <c r="L23" s="9"/>
    </row>
    <row x14ac:dyDescent="0.25" r="24" customHeight="1" ht="18.75">
      <c r="A24" s="62"/>
      <c r="B24" s="63"/>
      <c r="C24" s="63"/>
      <c r="D24" s="62"/>
      <c r="E24" s="62"/>
      <c r="F24" s="62"/>
      <c r="G24" s="63"/>
      <c r="H24" s="64"/>
      <c r="I24" s="65"/>
      <c r="J24" s="22"/>
      <c r="K24" s="9"/>
      <c r="L24" s="9"/>
    </row>
    <row x14ac:dyDescent="0.25" r="25" customHeight="1" ht="21">
      <c r="A25" s="66" t="s">
        <v>0</v>
      </c>
      <c r="B25" s="67"/>
      <c r="C25" s="68"/>
      <c r="D25" s="69"/>
      <c r="E25" s="69"/>
      <c r="F25" s="69"/>
      <c r="G25" s="68" t="s">
        <v>39</v>
      </c>
      <c r="H25" s="5" t="s">
        <v>2</v>
      </c>
      <c r="I25" s="6"/>
      <c r="J25" s="7" t="s">
        <v>3</v>
      </c>
      <c r="K25" s="8"/>
      <c r="L25" s="9"/>
    </row>
    <row x14ac:dyDescent="0.25" r="26" customHeight="1" ht="18.75">
      <c r="A26" s="70" t="s">
        <v>4</v>
      </c>
      <c r="B26" s="71"/>
      <c r="C26" s="71"/>
      <c r="D26" s="72"/>
      <c r="E26" s="72"/>
      <c r="F26" s="72"/>
      <c r="G26" s="71"/>
      <c r="H26" s="13"/>
      <c r="I26" s="6"/>
      <c r="J26" s="14"/>
      <c r="K26" s="15"/>
      <c r="L26" s="9"/>
    </row>
    <row x14ac:dyDescent="0.25" r="27" customHeight="1" ht="16.5">
      <c r="A27" s="16" t="s">
        <v>5</v>
      </c>
      <c r="B27" s="17"/>
      <c r="C27" s="17"/>
      <c r="D27" s="16"/>
      <c r="E27" s="16" t="s">
        <v>6</v>
      </c>
      <c r="F27" s="16"/>
      <c r="G27" s="18">
        <f>G3</f>
      </c>
      <c r="H27" s="13" t="s">
        <v>7</v>
      </c>
      <c r="I27" s="73">
        <f>I3</f>
      </c>
      <c r="J27" s="20">
        <v>30</v>
      </c>
      <c r="K27" s="21" t="s">
        <v>8</v>
      </c>
      <c r="L27" s="9"/>
    </row>
    <row x14ac:dyDescent="0.25" r="28" customHeight="1" ht="18.75">
      <c r="A28" s="9"/>
      <c r="B28" s="22"/>
      <c r="C28" s="22"/>
      <c r="D28" s="9"/>
      <c r="E28" s="23" t="s">
        <v>9</v>
      </c>
      <c r="F28" s="23"/>
      <c r="G28" s="74">
        <f>G3</f>
      </c>
      <c r="H28" s="26" t="s">
        <v>10</v>
      </c>
      <c r="I28" s="35">
        <f>I4</f>
      </c>
      <c r="J28" s="20">
        <v>4</v>
      </c>
      <c r="K28" s="21" t="s">
        <v>11</v>
      </c>
      <c r="L28" s="9"/>
    </row>
    <row x14ac:dyDescent="0.25" r="29" customHeight="1" ht="18.75">
      <c r="A29" s="25" t="s">
        <v>12</v>
      </c>
      <c r="B29" s="75">
        <f>B5</f>
      </c>
      <c r="C29" s="58"/>
      <c r="D29" s="9"/>
      <c r="E29" s="23" t="s">
        <v>13</v>
      </c>
      <c r="F29" s="23"/>
      <c r="G29" s="18">
        <f>G5</f>
      </c>
      <c r="H29" s="24" t="s">
        <v>14</v>
      </c>
      <c r="I29" s="73">
        <f>I5</f>
      </c>
      <c r="J29" s="20">
        <v>50</v>
      </c>
      <c r="K29" s="21" t="s">
        <v>15</v>
      </c>
      <c r="L29" s="9"/>
    </row>
    <row x14ac:dyDescent="0.25" r="30" customHeight="1" ht="23.25">
      <c r="A30" s="25" t="s">
        <v>16</v>
      </c>
      <c r="B30" s="28">
        <f>B6</f>
      </c>
      <c r="C30" s="28"/>
      <c r="D30" s="29"/>
      <c r="E30" s="9"/>
      <c r="F30" s="9"/>
      <c r="G30" s="22"/>
      <c r="H30" s="26" t="s">
        <v>18</v>
      </c>
      <c r="I30" s="35">
        <f>I6</f>
      </c>
      <c r="J30" s="20">
        <v>1</v>
      </c>
      <c r="K30" s="21" t="s">
        <v>19</v>
      </c>
      <c r="L30" s="9"/>
    </row>
    <row x14ac:dyDescent="0.25" r="31" customHeight="1" ht="18.75">
      <c r="A31" s="25" t="s">
        <v>20</v>
      </c>
      <c r="B31" s="75">
        <f>B7</f>
      </c>
      <c r="C31" s="58"/>
      <c r="D31" s="9"/>
      <c r="E31" s="9"/>
      <c r="F31" s="9"/>
      <c r="G31" s="22"/>
      <c r="H31" s="24" t="s">
        <v>21</v>
      </c>
      <c r="I31" s="73">
        <f>I7</f>
      </c>
      <c r="J31" s="20">
        <v>2</v>
      </c>
      <c r="K31" s="21" t="s">
        <v>19</v>
      </c>
      <c r="L31" s="9"/>
    </row>
    <row x14ac:dyDescent="0.25" r="32" customHeight="1" ht="27">
      <c r="A32" s="25" t="s">
        <v>22</v>
      </c>
      <c r="B32" s="32">
        <f>B8</f>
      </c>
      <c r="C32" s="33">
        <f>C8</f>
      </c>
      <c r="D32" s="34"/>
      <c r="E32" s="34"/>
      <c r="F32" s="34"/>
      <c r="G32" s="35"/>
      <c r="H32" s="26" t="s">
        <v>24</v>
      </c>
      <c r="I32" s="35">
        <f>I8</f>
      </c>
      <c r="J32" s="20">
        <v>1</v>
      </c>
      <c r="K32" s="21" t="s">
        <v>25</v>
      </c>
      <c r="L32" s="9"/>
    </row>
    <row x14ac:dyDescent="0.25" r="33" customHeight="1" ht="19.5">
      <c r="A33" s="76">
        <f>A9</f>
      </c>
      <c r="B33" s="75">
        <f>B9</f>
      </c>
      <c r="C33" s="22"/>
      <c r="D33" s="9"/>
      <c r="E33" s="77" t="s">
        <v>27</v>
      </c>
      <c r="F33" s="44"/>
      <c r="G33" s="22"/>
      <c r="H33" s="24" t="s">
        <v>28</v>
      </c>
      <c r="I33" s="78">
        <f>I9</f>
      </c>
      <c r="J33" s="22"/>
      <c r="K33" s="9"/>
      <c r="L33" s="9"/>
    </row>
    <row x14ac:dyDescent="0.25" r="34" customHeight="1" ht="18.75">
      <c r="A34" s="41" t="s">
        <v>29</v>
      </c>
      <c r="B34" s="42"/>
      <c r="C34" s="43" t="s">
        <v>30</v>
      </c>
      <c r="D34" s="44"/>
      <c r="E34" s="45"/>
      <c r="F34" s="46"/>
      <c r="G34" s="47">
        <f>G10</f>
      </c>
      <c r="H34" s="79" t="s">
        <v>32</v>
      </c>
      <c r="I34" s="80">
        <f>I10</f>
      </c>
      <c r="J34" s="22"/>
      <c r="K34" s="9"/>
      <c r="L34" s="9"/>
    </row>
    <row x14ac:dyDescent="0.25" r="35" customHeight="1" ht="36.6">
      <c r="A35" s="38"/>
      <c r="B35" s="42"/>
      <c r="C35" s="43">
        <f>C11</f>
      </c>
      <c r="D35" s="44"/>
      <c r="E35" s="81">
        <f>E11</f>
      </c>
      <c r="F35" s="82"/>
      <c r="G35" s="53">
        <f>G11</f>
      </c>
      <c r="H35" s="54"/>
      <c r="I35" s="55"/>
      <c r="J35" s="22"/>
      <c r="K35" s="9"/>
      <c r="L35" s="9"/>
    </row>
    <row x14ac:dyDescent="0.25" r="36" customHeight="1" ht="18.75">
      <c r="A36" s="25"/>
      <c r="B36" s="58"/>
      <c r="C36" s="22"/>
      <c r="D36" s="9"/>
      <c r="E36" s="34"/>
      <c r="F36" s="34"/>
      <c r="G36" s="33"/>
      <c r="H36" s="59"/>
      <c r="I36" s="60"/>
      <c r="J36" s="22"/>
      <c r="K36" s="9"/>
      <c r="L36" s="9"/>
    </row>
    <row x14ac:dyDescent="0.25" r="37" customHeight="1" ht="18.75">
      <c r="A37" s="25" t="s">
        <v>34</v>
      </c>
      <c r="B37" s="58">
        <f>B13</f>
      </c>
      <c r="C37" s="22"/>
      <c r="D37" s="9"/>
      <c r="E37" s="25"/>
      <c r="F37" s="25"/>
      <c r="G37" s="18" t="s">
        <v>36</v>
      </c>
      <c r="H37" s="59"/>
      <c r="I37" s="60"/>
      <c r="J37" s="22"/>
      <c r="K37" s="9"/>
      <c r="L37" s="9"/>
    </row>
    <row x14ac:dyDescent="0.25" r="38" customHeight="1" ht="18.75">
      <c r="A38" s="25"/>
      <c r="B38" s="58">
        <f>B14</f>
      </c>
      <c r="C38" s="22"/>
      <c r="D38" s="9"/>
      <c r="E38" s="25"/>
      <c r="F38" s="25"/>
      <c r="G38" s="75"/>
      <c r="H38" s="59"/>
      <c r="I38" s="60"/>
      <c r="J38" s="22"/>
      <c r="K38" s="9"/>
      <c r="L38" s="9"/>
    </row>
    <row x14ac:dyDescent="0.25" r="39" customHeight="1" ht="18.75">
      <c r="A39" s="25"/>
      <c r="B39" s="58">
        <f>B15</f>
      </c>
      <c r="C39" s="22"/>
      <c r="D39" s="9"/>
      <c r="E39" s="25"/>
      <c r="F39" s="25"/>
      <c r="G39" s="75"/>
      <c r="H39" s="59"/>
      <c r="I39" s="60"/>
      <c r="J39" s="22"/>
      <c r="K39" s="9"/>
      <c r="L39" s="9"/>
    </row>
    <row x14ac:dyDescent="0.25" r="40" customHeight="1" ht="15">
      <c r="A40" s="9"/>
      <c r="B40" s="22"/>
      <c r="C40" s="22"/>
      <c r="D40" s="9"/>
      <c r="E40" s="9"/>
      <c r="F40" s="9"/>
      <c r="G40" s="22"/>
      <c r="H40" s="59"/>
      <c r="I40" s="60"/>
      <c r="J40" s="22"/>
      <c r="K40" s="9"/>
      <c r="L40" s="9"/>
    </row>
    <row x14ac:dyDescent="0.25" r="41" customHeight="1" ht="18.75">
      <c r="A41" s="83"/>
      <c r="B41" s="84"/>
      <c r="C41" s="84"/>
      <c r="D41" s="83"/>
      <c r="E41" s="83"/>
      <c r="F41" s="83"/>
      <c r="G41" s="84"/>
      <c r="H41" s="85"/>
      <c r="I41" s="86"/>
      <c r="J41" s="22"/>
      <c r="K41" s="9"/>
      <c r="L41" s="9"/>
    </row>
    <row x14ac:dyDescent="0.25" r="42" customHeight="1" ht="18.75">
      <c r="A42" s="87"/>
      <c r="B42" s="88"/>
      <c r="C42" s="88"/>
      <c r="D42" s="87"/>
      <c r="E42" s="87"/>
      <c r="F42" s="87"/>
      <c r="G42" s="88"/>
      <c r="H42" s="89"/>
      <c r="I42" s="90"/>
      <c r="J42" s="22"/>
      <c r="K42" s="9"/>
      <c r="L42" s="9"/>
    </row>
  </sheetData>
  <mergeCells count="42">
    <mergeCell ref="A1:B1"/>
    <mergeCell ref="H1:I2"/>
    <mergeCell ref="J1:K2"/>
    <mergeCell ref="A2:G2"/>
    <mergeCell ref="A3:D3"/>
    <mergeCell ref="E3:F3"/>
    <mergeCell ref="E4:F4"/>
    <mergeCell ref="B5:D5"/>
    <mergeCell ref="E5:F5"/>
    <mergeCell ref="B6:D6"/>
    <mergeCell ref="E6:G6"/>
    <mergeCell ref="B7:D7"/>
    <mergeCell ref="E7:G7"/>
    <mergeCell ref="C8:G8"/>
    <mergeCell ref="E9:F9"/>
    <mergeCell ref="A10:B11"/>
    <mergeCell ref="C10:D10"/>
    <mergeCell ref="E10:F10"/>
    <mergeCell ref="H10:H11"/>
    <mergeCell ref="I10:I11"/>
    <mergeCell ref="C11:D11"/>
    <mergeCell ref="E11:F11"/>
    <mergeCell ref="E12:G12"/>
    <mergeCell ref="A25:B25"/>
    <mergeCell ref="H25:I26"/>
    <mergeCell ref="J25:K26"/>
    <mergeCell ref="A26:G26"/>
    <mergeCell ref="A27:D27"/>
    <mergeCell ref="E27:F27"/>
    <mergeCell ref="E28:F28"/>
    <mergeCell ref="E29:F29"/>
    <mergeCell ref="B30:D30"/>
    <mergeCell ref="C32:G32"/>
    <mergeCell ref="E33:F33"/>
    <mergeCell ref="A34:B35"/>
    <mergeCell ref="C34:D34"/>
    <mergeCell ref="E34:F34"/>
    <mergeCell ref="H34:H35"/>
    <mergeCell ref="I34:I35"/>
    <mergeCell ref="C35:D35"/>
    <mergeCell ref="E35:F35"/>
    <mergeCell ref="E36:G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ورقة1</vt:lpstr>
      <vt:lpstr>ورقة2</vt:lpstr>
      <vt:lpstr>ورقة3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2026-03-27T15:11:33.612Z</dcterms:created>
  <dcterms:modified xsi:type="dcterms:W3CDTF">2026-03-27T15:11:33.613Z</dcterms:modified>
</cp:coreProperties>
</file>