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ورقة1"/>
    <sheet r:id="rId2" sheetId="2" name="ورقة2"/>
    <sheet r:id="rId3" sheetId="3" name="ورقة3"/>
  </sheets>
  <definedNames>
    <definedName name="_xlnm.Print_Area" localSheetId="1">ورقة2!$A$1:$S$29</definedName>
    <definedName name="سعر_التر_المربع_شهريا">ورقة1!$J$2+[1]ورقة1!$G$12:$I$12</definedName>
  </definedNames>
  <calcPr fullCalcOnLoad="1"/>
</workbook>
</file>

<file path=xl/sharedStrings.xml><?xml version="1.0" encoding="utf-8"?>
<sst xmlns="http://schemas.openxmlformats.org/spreadsheetml/2006/main" count="254" uniqueCount="198">
  <si>
    <t xml:space="preserve"> بيتنا      our home</t>
  </si>
  <si>
    <t>نسخة الفريق الاول</t>
  </si>
  <si>
    <t>وصل استلام قسط</t>
  </si>
  <si>
    <t>قيمة المواد شهريا</t>
  </si>
  <si>
    <t>انشاء المستخدم: م.محمد كامل علي</t>
  </si>
  <si>
    <t>تاريخ الانشاء</t>
  </si>
  <si>
    <t>حديد</t>
  </si>
  <si>
    <t>تاريخ الاستحقاق</t>
  </si>
  <si>
    <t>اسمنت</t>
  </si>
  <si>
    <t>رقم القسط</t>
  </si>
  <si>
    <t>تاريخ الدفع</t>
  </si>
  <si>
    <t>بلوك</t>
  </si>
  <si>
    <t>اسم الفريق الثاني</t>
  </si>
  <si>
    <t>يوشع ثابت عباس</t>
  </si>
  <si>
    <t>كوفراج</t>
  </si>
  <si>
    <t>رقم الفريق الثاني</t>
  </si>
  <si>
    <t>رمل</t>
  </si>
  <si>
    <t>مجموع المبلغ</t>
  </si>
  <si>
    <t>فقط  مئة و خمس و تسعون  الف  ليرة سورية</t>
  </si>
  <si>
    <t>عامل</t>
  </si>
  <si>
    <t>الرسوم</t>
  </si>
  <si>
    <t xml:space="preserve">الامتار المحولة </t>
  </si>
  <si>
    <t>تفاصيل القسط المدفوع</t>
  </si>
  <si>
    <t>اصل القسط</t>
  </si>
  <si>
    <t>اجمالي القسط المدفوع</t>
  </si>
  <si>
    <r>
      <t>ا</t>
    </r>
    <r>
      <rPr>
        <sz val="10"/>
        <color rgb="FF000000"/>
        <rFont val="Arial"/>
        <family val="2"/>
      </rPr>
      <t>جمالي الامتار المحولة</t>
    </r>
  </si>
  <si>
    <t>رقم القسط المدفوع</t>
  </si>
  <si>
    <t xml:space="preserve"> فقط  خمس و عشرون ألف   ليرة سورية</t>
  </si>
  <si>
    <t>عدد الاقساط المتبقية</t>
  </si>
  <si>
    <t>توقيع الفريق الاول :</t>
  </si>
  <si>
    <t>م.محمد كامل علي</t>
  </si>
  <si>
    <t>نسخة الفريق الثاني</t>
  </si>
  <si>
    <t>اجمالي المبلغ المدفوع</t>
  </si>
  <si>
    <t>مساحة الشقة</t>
  </si>
  <si>
    <t>نوع العمل</t>
  </si>
  <si>
    <t>الوحدة</t>
  </si>
  <si>
    <t>السعر الافرادي</t>
  </si>
  <si>
    <t>الكمية</t>
  </si>
  <si>
    <t>السعر الاجمالي</t>
  </si>
  <si>
    <t>فراغ الطابق</t>
  </si>
  <si>
    <t>ابعاد النوافذ</t>
  </si>
  <si>
    <t xml:space="preserve">سعر المتر البواري </t>
  </si>
  <si>
    <t>اجرة تركيب م.ط مداخن</t>
  </si>
  <si>
    <t>معامل المداخن</t>
  </si>
  <si>
    <t>بتاريخ توقيع العقد</t>
  </si>
  <si>
    <t>سماكة البلاطة</t>
  </si>
  <si>
    <t>عرض النافذة</t>
  </si>
  <si>
    <t>اجرة تركيب المتر</t>
  </si>
  <si>
    <t>ثمن حديد مبروم  واصل الى موقع العمل</t>
  </si>
  <si>
    <t>كغ</t>
  </si>
  <si>
    <t>ارتفاع المنامات</t>
  </si>
  <si>
    <t>عرض النافذة الوسطى</t>
  </si>
  <si>
    <t>رمل مداخن</t>
  </si>
  <si>
    <t xml:space="preserve">  ثمن اسمنت واصل الى موقع العمل</t>
  </si>
  <si>
    <t>كيس</t>
  </si>
  <si>
    <t>ارتفاع العتب الخارجية</t>
  </si>
  <si>
    <t>عرض الباب</t>
  </si>
  <si>
    <t xml:space="preserve">اسمنت مداخن </t>
  </si>
  <si>
    <t xml:space="preserve">اجرة تركيب م.ط نوازل </t>
  </si>
  <si>
    <t>ثمن بلوك اسمنتي سامكة 15 سم واصل</t>
  </si>
  <si>
    <t>بلوكة</t>
  </si>
  <si>
    <t xml:space="preserve">ارتفاع العتب الداخلي </t>
  </si>
  <si>
    <t>عدد الشقق</t>
  </si>
  <si>
    <t>سعر م3 قيراوني</t>
  </si>
  <si>
    <t>اجرة  م2 كلسة  داخلية</t>
  </si>
  <si>
    <t xml:space="preserve">اجور كوفارج و صب حديد وتحديد بيتون </t>
  </si>
  <si>
    <t>م3</t>
  </si>
  <si>
    <t xml:space="preserve">عدد المداخن </t>
  </si>
  <si>
    <t>عدد الطوابق</t>
  </si>
  <si>
    <t xml:space="preserve">بودرا </t>
  </si>
  <si>
    <t>اجرة تركيب م2بلوك</t>
  </si>
  <si>
    <t>مسلح لزوم قواعد و اعمدة و بلاطة هوردي</t>
  </si>
  <si>
    <t>مساحة الطابق</t>
  </si>
  <si>
    <t>سعر 1 كيلو لاصق طوبى</t>
  </si>
  <si>
    <t xml:space="preserve">اجرة تركيب م2 رخام </t>
  </si>
  <si>
    <t>ثمن مواد حصوية جرجرة \بحص + نحاته \ واصل الى الموقع</t>
  </si>
  <si>
    <t>اجرة تركيب م2 حجر</t>
  </si>
  <si>
    <t>اجور صقل + اسمنت</t>
  </si>
  <si>
    <t>قيمة ريغار</t>
  </si>
  <si>
    <t xml:space="preserve">اجرة تركيب م2 سيراميك </t>
  </si>
  <si>
    <t>اجور سقاية + شريط تربيط + هوالك</t>
  </si>
  <si>
    <t>سعر بوري 8 ً طوبى</t>
  </si>
  <si>
    <t xml:space="preserve">اجرة تركيب م.ط شعيرة </t>
  </si>
  <si>
    <t>أعمدة</t>
  </si>
  <si>
    <t>سعر بوري 6 ً طوبى</t>
  </si>
  <si>
    <t xml:space="preserve">اجور الرخصة </t>
  </si>
  <si>
    <t xml:space="preserve">سعر بوري 4 ً طوبى </t>
  </si>
  <si>
    <t xml:space="preserve">  المداخن</t>
  </si>
  <si>
    <t>م</t>
  </si>
  <si>
    <t>سعر بوري 3 ً طوبى</t>
  </si>
  <si>
    <t>نوازل صحية</t>
  </si>
  <si>
    <t>سعر تي 4 ً</t>
  </si>
  <si>
    <t>أجرة م2 كلسة  خارجية</t>
  </si>
  <si>
    <t>درج</t>
  </si>
  <si>
    <t>سعر تي 3 ً</t>
  </si>
  <si>
    <t xml:space="preserve">منامات السطح و بيت الدرج </t>
  </si>
  <si>
    <t>كوع مدفع 4 ً</t>
  </si>
  <si>
    <t>كلسة خارجية</t>
  </si>
  <si>
    <t>كواني 3 ً</t>
  </si>
  <si>
    <t>بلوك خارجي</t>
  </si>
  <si>
    <t>صرف صحي</t>
  </si>
  <si>
    <t>سعر بلوك 10 سم</t>
  </si>
  <si>
    <t xml:space="preserve">قواعد و أساسات مسلحة </t>
  </si>
  <si>
    <t>سعر بلوك 12 سم</t>
  </si>
  <si>
    <t xml:space="preserve">بيتون مغموس ونظافة </t>
  </si>
  <si>
    <t>رخام تركي 3 سم</t>
  </si>
  <si>
    <t>حفريات</t>
  </si>
  <si>
    <t>رخام تركي 1.5 سم</t>
  </si>
  <si>
    <t>جدران  استندادية</t>
  </si>
  <si>
    <t>معامل الارض</t>
  </si>
  <si>
    <t xml:space="preserve">معامل تنفيذ </t>
  </si>
  <si>
    <t>معامل راس مال</t>
  </si>
  <si>
    <t>الطابق</t>
  </si>
  <si>
    <t>قبو 2</t>
  </si>
  <si>
    <t>قبو 1</t>
  </si>
  <si>
    <t>ارضي</t>
  </si>
  <si>
    <t>شقة لاحقة التخصص   يوشع عباس</t>
  </si>
  <si>
    <t>الحريف</t>
  </si>
  <si>
    <t>المعيارا لدائم لحساب القسط الشهري بدلالة قيمة البنود التالية وفق السعر المتفق عليع بتاريخ توقيع العقد</t>
  </si>
  <si>
    <t>الطابق الأول</t>
  </si>
  <si>
    <t xml:space="preserve">شقة رقم </t>
  </si>
  <si>
    <t>المحول الشهري بالمتار</t>
  </si>
  <si>
    <t xml:space="preserve">عدد الاقساط </t>
  </si>
  <si>
    <t>القسط الشهري</t>
  </si>
  <si>
    <t>مسلسل</t>
  </si>
  <si>
    <t xml:space="preserve">السعر الافرادي </t>
  </si>
  <si>
    <t>بتاريخ دفع القسط</t>
  </si>
  <si>
    <t>معادل موقع الشقة</t>
  </si>
  <si>
    <t>سعر المتر المربع عند التوقيع</t>
  </si>
  <si>
    <t>سعر المتر المربع شهريا</t>
  </si>
  <si>
    <t>قيمة الشقة عند توقيع العقد</t>
  </si>
  <si>
    <t>سعر المتر الشهري</t>
  </si>
  <si>
    <t>قيمة القسط</t>
  </si>
  <si>
    <t>معادل التخفيض</t>
  </si>
  <si>
    <t>تاريخ القسط</t>
  </si>
  <si>
    <t>عدد الامتار المباعة</t>
  </si>
  <si>
    <t>دفعة أولى</t>
  </si>
  <si>
    <t xml:space="preserve">اجور عمل لعامـل عادي 7 ساعات </t>
  </si>
  <si>
    <t>يوم</t>
  </si>
  <si>
    <t xml:space="preserve">القسط 1 </t>
  </si>
  <si>
    <t>القيمة الاجمالية للبنود السابقة بتاريخ العقد</t>
  </si>
  <si>
    <t>القسط 2</t>
  </si>
  <si>
    <t xml:space="preserve">سعر المتر المربع من الشقة المباعة وفق العقد   </t>
  </si>
  <si>
    <t xml:space="preserve">القسط 3 </t>
  </si>
  <si>
    <t>14/12/2020</t>
  </si>
  <si>
    <t>القسط 4</t>
  </si>
  <si>
    <t>القسط 5</t>
  </si>
  <si>
    <t>القسط 6</t>
  </si>
  <si>
    <t>القسط 7</t>
  </si>
  <si>
    <t>الشقة</t>
  </si>
  <si>
    <t>القسط 8</t>
  </si>
  <si>
    <t>معامل الطابق</t>
  </si>
  <si>
    <t>القسط 9</t>
  </si>
  <si>
    <t>القسط 10</t>
  </si>
  <si>
    <t>القسط 11</t>
  </si>
  <si>
    <t>القسط 12</t>
  </si>
  <si>
    <t>قيمة المصعد</t>
  </si>
  <si>
    <t>القسط 13</t>
  </si>
  <si>
    <t xml:space="preserve">عدد الدرجات حسب الطابق </t>
  </si>
  <si>
    <t>القسط 14</t>
  </si>
  <si>
    <t>مايلحق الدرجة الواحدة من قيمة المصعد</t>
  </si>
  <si>
    <t>القسط 15</t>
  </si>
  <si>
    <t>معامل المصعد</t>
  </si>
  <si>
    <t>القسط 16</t>
  </si>
  <si>
    <t>القسط 17</t>
  </si>
  <si>
    <t>القسط 18</t>
  </si>
  <si>
    <t>الوجيبة</t>
  </si>
  <si>
    <t>القسط 19</t>
  </si>
  <si>
    <t>القسط 20</t>
  </si>
  <si>
    <t>معامل الوجيبة</t>
  </si>
  <si>
    <t>القسط 21</t>
  </si>
  <si>
    <t>القسط 22</t>
  </si>
  <si>
    <t xml:space="preserve">معامل الشارع </t>
  </si>
  <si>
    <t>القسط 23</t>
  </si>
  <si>
    <t>شارعين متوازيين</t>
  </si>
  <si>
    <t>القسط 25</t>
  </si>
  <si>
    <t>شارعين متقاطعين</t>
  </si>
  <si>
    <t>القسط 26</t>
  </si>
  <si>
    <t>القسط 27</t>
  </si>
  <si>
    <t>الاتجاه</t>
  </si>
  <si>
    <t>القسط 28</t>
  </si>
  <si>
    <t>القسط 29</t>
  </si>
  <si>
    <t>معامل الاتجاه</t>
  </si>
  <si>
    <t>القسط 30</t>
  </si>
  <si>
    <t>القسط 31</t>
  </si>
  <si>
    <t>القسط 32</t>
  </si>
  <si>
    <t>وصف الشقه</t>
  </si>
  <si>
    <t>الفريق الاول</t>
  </si>
  <si>
    <t>الفريق الثاني</t>
  </si>
  <si>
    <t>المالك</t>
  </si>
  <si>
    <t xml:space="preserve">الكفيل </t>
  </si>
  <si>
    <t>مجموع المبالغ المدفوعة</t>
  </si>
  <si>
    <t>محمد علي</t>
  </si>
  <si>
    <t>عامر الكسار</t>
  </si>
  <si>
    <t>يوشع عباس</t>
  </si>
  <si>
    <t>ثابت عباس</t>
  </si>
  <si>
    <t xml:space="preserve">القسط الاخير عند التسليم </t>
  </si>
  <si>
    <t>مجموع ما يمتلكه من أمتار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</si>
</sst>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11"/>
      <color rgb="FF0070c0"/>
      <name val="Arial"/>
      <family val="2"/>
    </font>
    <font>
      <sz val="12"/>
      <color rgb="FF0070c0"/>
      <name val="Arial"/>
      <family val="2"/>
    </font>
    <font>
      <b/>
      <i/>
      <u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dcdb"/>
      </patternFill>
    </fill>
  </fills>
  <borders count="4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Dashed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Dash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4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left"/>
    </xf>
    <xf xfId="0" numFmtId="14" applyNumberFormat="1" borderId="3" applyBorder="1" fontId="2" applyFont="1" fillId="0" applyAlignment="1">
      <alignment horizontal="left"/>
    </xf>
    <xf xfId="0" numFmtId="0" borderId="4" applyBorder="1" fontId="2" applyFont="1" fillId="0" applyAlignment="1">
      <alignment horizontal="center"/>
    </xf>
    <xf xfId="0" numFmtId="4" applyNumberFormat="1" borderId="4" applyBorder="1" fontId="2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2" applyBorder="1" fontId="3" applyFont="1" fillId="0" applyAlignment="1">
      <alignment horizontal="center"/>
    </xf>
    <xf xfId="0" numFmtId="0" borderId="2" applyBorder="1" fontId="3" applyFont="1" fillId="0" applyAlignment="1">
      <alignment horizontal="center"/>
    </xf>
    <xf xfId="0" numFmtId="0" borderId="5" applyBorder="1" fontId="4" applyFont="1" fillId="0" applyAlignment="1">
      <alignment horizontal="center"/>
    </xf>
    <xf xfId="0" numFmtId="4" applyNumberFormat="1" borderId="6" applyBorder="1" fontId="4" applyFont="1" fillId="0" applyAlignment="1">
      <alignment horizontal="center"/>
    </xf>
    <xf xfId="0" numFmtId="0" borderId="4" applyBorder="1" fontId="2" applyFont="1" fillId="0" applyAlignment="1">
      <alignment horizontal="left"/>
    </xf>
    <xf xfId="0" numFmtId="3" applyNumberFormat="1" borderId="4" applyBorder="1" fontId="4" applyFont="1" fillId="0" applyAlignment="1">
      <alignment horizontal="center"/>
    </xf>
    <xf xfId="0" numFmtId="3" applyNumberFormat="1" borderId="4" applyBorder="1" fontId="4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14" applyNumberFormat="1" borderId="4" applyBorder="1" fontId="4" applyFont="1" fillId="0" applyAlignment="1">
      <alignment horizontal="left"/>
    </xf>
    <xf xfId="0" numFmtId="0" borderId="7" applyBorder="1" fontId="4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3" applyNumberFormat="1" borderId="4" applyBorder="1" fontId="2" applyFont="1" fillId="0" applyAlignment="1">
      <alignment horizontal="right"/>
    </xf>
    <xf xfId="0" numFmtId="0" borderId="7" applyBorder="1" fontId="2" applyFont="1" fillId="0" applyAlignment="1">
      <alignment horizontal="center"/>
    </xf>
    <xf xfId="0" numFmtId="3" applyNumberFormat="1" borderId="4" applyBorder="1" fontId="4" applyFont="1" fillId="0" applyAlignment="1">
      <alignment horizontal="right"/>
    </xf>
    <xf xfId="0" numFmtId="0" borderId="8" applyBorder="1" fontId="2" applyFont="1" fillId="0" applyAlignment="1">
      <alignment horizontal="center"/>
    </xf>
    <xf xfId="0" numFmtId="3" applyNumberFormat="1" borderId="8" applyBorder="1" fontId="2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right"/>
    </xf>
    <xf xfId="0" numFmtId="3" applyNumberFormat="1" borderId="4" applyBorder="1" fontId="2" applyFont="1" fillId="0" applyAlignment="1">
      <alignment horizontal="left"/>
    </xf>
    <xf xfId="0" numFmtId="3" applyNumberFormat="1" borderId="9" applyBorder="1" fontId="4" applyFont="1" fillId="0" applyAlignment="1">
      <alignment horizontal="center"/>
    </xf>
    <xf xfId="0" numFmtId="0" borderId="9" applyBorder="1" fontId="4" applyFont="1" fillId="0" applyAlignment="1">
      <alignment horizontal="center"/>
    </xf>
    <xf xfId="0" numFmtId="4" applyNumberFormat="1" borderId="8" applyBorder="1" fontId="2" applyFont="1" fillId="0" applyAlignment="1">
      <alignment horizontal="center"/>
    </xf>
    <xf xfId="0" numFmtId="0" borderId="9" applyBorder="1" fontId="4" applyFont="1" fillId="0" applyAlignment="1">
      <alignment horizontal="center" vertical="top"/>
    </xf>
    <xf xfId="0" numFmtId="3" applyNumberFormat="1" borderId="9" applyBorder="1" fontId="2" applyFont="1" fillId="0" applyAlignment="1">
      <alignment horizontal="left"/>
    </xf>
    <xf xfId="0" numFmtId="0" borderId="9" applyBorder="1" fontId="2" applyFont="1" fillId="0" applyAlignment="1">
      <alignment horizontal="left"/>
    </xf>
    <xf xfId="0" numFmtId="14" applyNumberFormat="1" borderId="10" applyBorder="1" fontId="4" applyFont="1" fillId="0" applyAlignment="1">
      <alignment horizontal="left"/>
    </xf>
    <xf xfId="0" numFmtId="0" borderId="11" applyBorder="1" fontId="4" applyFont="1" fillId="0" applyAlignment="1">
      <alignment horizontal="center" vertical="top" wrapText="1"/>
    </xf>
    <xf xfId="0" numFmtId="4" applyNumberFormat="1" borderId="12" applyBorder="1" fontId="2" applyFont="1" fillId="0" applyAlignment="1">
      <alignment horizontal="center" vertical="top"/>
    </xf>
    <xf xfId="0" numFmtId="3" applyNumberFormat="1" borderId="9" applyBorder="1" fontId="3" applyFont="1" fillId="0" applyAlignment="1">
      <alignment horizontal="right"/>
    </xf>
    <xf xfId="0" numFmtId="0" borderId="9" applyBorder="1" fontId="3" applyFont="1" fillId="0" applyAlignment="1">
      <alignment horizontal="left"/>
    </xf>
    <xf xfId="0" numFmtId="3" applyNumberFormat="1" borderId="10" applyBorder="1" fontId="3" applyFont="1" fillId="0" applyAlignment="1">
      <alignment horizontal="right"/>
    </xf>
    <xf xfId="0" numFmtId="0" borderId="13" applyBorder="1" fontId="4" applyFont="1" fillId="0" applyAlignment="1">
      <alignment horizontal="center" wrapText="1"/>
    </xf>
    <xf xfId="0" numFmtId="4" applyNumberFormat="1" borderId="14" applyBorder="1" fontId="2" applyFont="1" fillId="0" applyAlignment="1">
      <alignment horizontal="center"/>
    </xf>
    <xf xfId="0" numFmtId="14" applyNumberFormat="1" borderId="4" applyBorder="1" fontId="4" applyFont="1" fillId="0" applyAlignment="1">
      <alignment horizontal="right"/>
    </xf>
    <xf xfId="0" numFmtId="0" borderId="15" applyBorder="1" fontId="2" applyFont="1" fillId="0" applyAlignment="1">
      <alignment horizontal="left"/>
    </xf>
    <xf xfId="0" numFmtId="3" applyNumberFormat="1" borderId="15" applyBorder="1" fontId="2" applyFont="1" fillId="0" applyAlignment="1">
      <alignment horizontal="left"/>
    </xf>
    <xf xfId="0" numFmtId="0" borderId="15" applyBorder="1" fontId="2" applyFont="1" fillId="0" applyAlignment="1">
      <alignment horizontal="center"/>
    </xf>
    <xf xfId="0" numFmtId="4" applyNumberFormat="1" borderId="15" applyBorder="1" fontId="2" applyFont="1" fillId="0" applyAlignment="1">
      <alignment horizontal="center"/>
    </xf>
    <xf xfId="0" numFmtId="3" applyNumberFormat="1" borderId="6" applyBorder="1" fontId="2" applyFont="1" fillId="0" applyAlignment="1">
      <alignment horizontal="center"/>
    </xf>
    <xf xfId="0" numFmtId="3" applyNumberFormat="1" borderId="16" applyBorder="1" fontId="2" applyFont="1" fillId="0" applyAlignment="1">
      <alignment horizontal="center"/>
    </xf>
    <xf xfId="0" numFmtId="3" applyNumberFormat="1" borderId="4" applyBorder="1" fontId="3" applyFont="1" fillId="0" applyAlignment="1">
      <alignment horizontal="left"/>
    </xf>
    <xf xfId="0" numFmtId="3" applyNumberFormat="1" borderId="1" applyBorder="1" fontId="4" applyFont="1" fillId="0" applyAlignment="1">
      <alignment horizontal="center"/>
    </xf>
    <xf xfId="0" numFmtId="0" borderId="2" applyBorder="1" fontId="4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4" applyNumberFormat="1" borderId="6" applyBorder="1" fontId="2" applyFont="1" fillId="0" applyAlignment="1">
      <alignment horizontal="center"/>
    </xf>
    <xf xfId="0" numFmtId="0" borderId="17" applyBorder="1" fontId="4" applyFont="1" fillId="0" applyAlignment="1">
      <alignment horizontal="center" vertical="top" wrapText="1"/>
    </xf>
    <xf xfId="0" numFmtId="4" applyNumberFormat="1" borderId="16" applyBorder="1" fontId="2" applyFont="1" fillId="0" applyAlignment="1">
      <alignment horizontal="center" vertical="top"/>
    </xf>
    <xf xfId="0" numFmtId="4" applyNumberFormat="1" borderId="18" applyBorder="1" fontId="2" applyFont="1" fillId="0" applyAlignment="1">
      <alignment horizontal="center"/>
    </xf>
    <xf xfId="0" numFmtId="0" borderId="19" applyBorder="1" fontId="2" applyFont="1" fillId="0" applyAlignment="1">
      <alignment horizontal="left"/>
    </xf>
    <xf xfId="0" numFmtId="3" applyNumberFormat="1" borderId="19" applyBorder="1" fontId="2" applyFont="1" fillId="0" applyAlignment="1">
      <alignment horizontal="left"/>
    </xf>
    <xf xfId="0" numFmtId="0" borderId="19" applyBorder="1" fontId="2" applyFont="1" fillId="0" applyAlignment="1">
      <alignment horizontal="center"/>
    </xf>
    <xf xfId="0" numFmtId="4" applyNumberFormat="1" borderId="19" applyBorder="1" fontId="2" applyFont="1" fillId="0" applyAlignment="1">
      <alignment horizontal="center"/>
    </xf>
    <xf xfId="0" numFmtId="0" borderId="20" applyBorder="1" fontId="2" applyFont="1" fillId="0" applyAlignment="1">
      <alignment horizontal="left"/>
    </xf>
    <xf xfId="0" numFmtId="3" applyNumberFormat="1" borderId="20" applyBorder="1" fontId="2" applyFont="1" fillId="0" applyAlignment="1">
      <alignment horizontal="left"/>
    </xf>
    <xf xfId="0" numFmtId="0" borderId="20" applyBorder="1" fontId="2" applyFont="1" fillId="0" applyAlignment="1">
      <alignment horizontal="center"/>
    </xf>
    <xf xfId="0" numFmtId="4" applyNumberFormat="1" borderId="20" applyBorder="1" fontId="2" applyFont="1" fillId="0" applyAlignment="1">
      <alignment horizontal="center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14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4" applyBorder="1" fontId="2" applyFont="1" fillId="0" applyAlignment="1">
      <alignment horizontal="center"/>
    </xf>
    <xf xfId="0" numFmtId="3" applyNumberFormat="1" borderId="21" applyBorder="1" fontId="2" applyFont="1" fillId="0" applyAlignment="1">
      <alignment horizontal="center" vertical="top"/>
    </xf>
    <xf xfId="0" numFmtId="0" borderId="22" applyBorder="1" fontId="2" applyFont="1" fillId="0" applyAlignment="1">
      <alignment horizontal="left"/>
    </xf>
    <xf xfId="0" numFmtId="0" borderId="23" applyBorder="1" fontId="2" applyFont="1" fillId="0" applyAlignment="1">
      <alignment horizontal="center" vertical="top"/>
    </xf>
    <xf xfId="0" numFmtId="3" applyNumberFormat="1" borderId="4" applyBorder="1" fontId="2" applyFont="1" fillId="0" applyAlignment="1">
      <alignment horizontal="center" vertical="top"/>
    </xf>
    <xf xfId="0" numFmtId="4" applyNumberFormat="1" borderId="4" applyBorder="1" fontId="2" applyFont="1" fillId="0" applyAlignment="1">
      <alignment horizontal="center" vertical="top"/>
    </xf>
    <xf xfId="0" numFmtId="3" applyNumberFormat="1" borderId="21" applyBorder="1" fontId="2" applyFont="1" fillId="0" applyAlignment="1">
      <alignment horizontal="center"/>
    </xf>
    <xf xfId="0" numFmtId="0" borderId="24" applyBorder="1" fontId="2" applyFont="1" fillId="0" applyAlignment="1">
      <alignment horizontal="left"/>
    </xf>
    <xf xfId="0" numFmtId="0" borderId="23" applyBorder="1" fontId="2" applyFont="1" fillId="0" applyAlignment="1">
      <alignment horizontal="center"/>
    </xf>
    <xf xfId="0" numFmtId="0" borderId="4" applyBorder="1" fontId="4" applyFont="1" fillId="0" applyAlignment="1">
      <alignment horizontal="center"/>
    </xf>
    <xf xfId="0" numFmtId="4" applyNumberFormat="1" borderId="4" applyBorder="1" fontId="4" applyFont="1" fillId="0" applyAlignment="1">
      <alignment horizontal="right"/>
    </xf>
    <xf xfId="0" numFmtId="4" applyNumberFormat="1" borderId="4" applyBorder="1" fontId="2" applyFont="1" fillId="0" applyAlignment="1">
      <alignment horizontal="right"/>
    </xf>
    <xf xfId="0" numFmtId="4" applyNumberFormat="1" borderId="25" applyBorder="1" fontId="2" applyFont="1" fillId="0" applyAlignment="1">
      <alignment horizontal="right"/>
    </xf>
    <xf xfId="0" numFmtId="4" applyNumberFormat="1" borderId="7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26" applyBorder="1" fontId="3" applyFont="1" fillId="0" applyAlignment="1">
      <alignment horizontal="center"/>
    </xf>
    <xf xfId="0" numFmtId="3" applyNumberFormat="1" borderId="20" applyBorder="1" fontId="3" applyFont="1" fillId="0" applyAlignment="1">
      <alignment horizontal="center"/>
    </xf>
    <xf xfId="0" numFmtId="14" applyNumberFormat="1" borderId="27" applyBorder="1" fontId="3" applyFont="1" fillId="0" applyAlignment="1">
      <alignment horizontal="center"/>
    </xf>
    <xf xfId="0" numFmtId="3" applyNumberFormat="1" borderId="28" applyBorder="1" fontId="3" applyFont="1" fillId="0" applyAlignment="1">
      <alignment horizontal="center"/>
    </xf>
    <xf xfId="0" numFmtId="3" applyNumberFormat="1" borderId="9" applyBorder="1" fontId="2" applyFont="1" fillId="0" applyAlignment="1">
      <alignment horizontal="center"/>
    </xf>
    <xf xfId="0" numFmtId="0" borderId="29" applyBorder="1" fontId="5" applyFont="1" fillId="0" applyAlignment="1">
      <alignment horizontal="center"/>
    </xf>
    <xf xfId="0" numFmtId="3" applyNumberFormat="1" borderId="30" applyBorder="1" fontId="5" applyFont="1" fillId="0" applyAlignment="1">
      <alignment horizontal="center"/>
    </xf>
    <xf xfId="0" numFmtId="3" applyNumberFormat="1" borderId="31" applyBorder="1" fontId="5" applyFont="1" fillId="0" applyAlignment="1">
      <alignment horizontal="center"/>
    </xf>
    <xf xfId="0" numFmtId="3" applyNumberFormat="1" borderId="32" applyBorder="1" fontId="5" applyFont="1" fillId="0" applyAlignment="1">
      <alignment horizontal="center"/>
    </xf>
    <xf xfId="0" numFmtId="14" applyNumberFormat="1" borderId="31" applyBorder="1" fontId="5" applyFont="1" fillId="0" applyAlignment="1">
      <alignment horizontal="center"/>
    </xf>
    <xf xfId="0" numFmtId="3" applyNumberFormat="1" borderId="4" applyBorder="1" fontId="5" applyFont="1" fillId="0" applyAlignment="1">
      <alignment horizontal="center"/>
    </xf>
    <xf xfId="0" numFmtId="3" applyNumberFormat="1" borderId="1" applyBorder="1" fontId="5" applyFont="1" fillId="0" applyAlignment="1">
      <alignment horizontal="center"/>
    </xf>
    <xf xfId="0" numFmtId="0" borderId="31" applyBorder="1" fontId="5" applyFont="1" fillId="0" applyAlignment="1">
      <alignment horizontal="center"/>
    </xf>
    <xf xfId="0" numFmtId="0" borderId="33" applyBorder="1" fontId="5" applyFont="1" fillId="0" applyAlignment="1">
      <alignment horizontal="center"/>
    </xf>
    <xf xfId="0" numFmtId="3" applyNumberFormat="1" borderId="33" applyBorder="1" fontId="5" applyFont="1" fillId="0" applyAlignment="1">
      <alignment horizontal="center"/>
    </xf>
    <xf xfId="0" numFmtId="3" applyNumberFormat="1" borderId="33" applyBorder="1" fontId="5" applyFont="1" fillId="0" applyAlignment="1">
      <alignment horizontal="right"/>
    </xf>
    <xf xfId="0" numFmtId="0" borderId="4" applyBorder="1" fontId="5" applyFont="1" fillId="0" applyAlignment="1">
      <alignment horizontal="center"/>
    </xf>
    <xf xfId="0" numFmtId="0" borderId="4" applyBorder="1" fontId="5" applyFont="1" fillId="0" applyAlignment="1">
      <alignment horizontal="left"/>
    </xf>
    <xf xfId="0" numFmtId="3" applyNumberFormat="1" borderId="4" applyBorder="1" fontId="5" applyFont="1" fillId="0" applyAlignment="1">
      <alignment horizontal="left"/>
    </xf>
    <xf xfId="0" numFmtId="3" applyNumberFormat="1" borderId="34" applyBorder="1" fontId="5" applyFont="1" fillId="0" applyAlignment="1">
      <alignment horizontal="center"/>
    </xf>
    <xf xfId="0" numFmtId="3" applyNumberFormat="1" borderId="35" applyBorder="1" fontId="5" applyFont="1" fillId="0" applyAlignment="1">
      <alignment horizontal="center"/>
    </xf>
    <xf xfId="0" numFmtId="4" applyNumberFormat="1" borderId="36" applyBorder="1" fontId="5" applyFont="1" fillId="0" applyAlignment="1">
      <alignment horizontal="center"/>
    </xf>
    <xf xfId="0" numFmtId="3" applyNumberFormat="1" borderId="37" applyBorder="1" fontId="5" applyFont="1" fillId="0" applyAlignment="1">
      <alignment horizontal="center"/>
    </xf>
    <xf xfId="0" numFmtId="4" applyNumberFormat="1" borderId="26" applyBorder="1" fontId="5" applyFont="1" fillId="0" applyAlignment="1">
      <alignment horizontal="center"/>
    </xf>
    <xf xfId="0" numFmtId="0" borderId="36" applyBorder="1" fontId="5" applyFont="1" fillId="0" applyAlignment="1">
      <alignment horizontal="center"/>
    </xf>
    <xf xfId="0" numFmtId="0" borderId="38" applyBorder="1" fontId="5" applyFont="1" fillId="0" applyAlignment="1">
      <alignment horizontal="center"/>
    </xf>
    <xf xfId="0" numFmtId="3" applyNumberFormat="1" borderId="38" applyBorder="1" fontId="5" applyFont="1" fillId="0" applyAlignment="1">
      <alignment horizontal="center"/>
    </xf>
    <xf xfId="0" numFmtId="14" applyNumberFormat="1" borderId="4" applyBorder="1" fontId="5" applyFont="1" fillId="0" applyAlignment="1">
      <alignment horizontal="center"/>
    </xf>
    <xf xfId="0" numFmtId="3" applyNumberFormat="1" borderId="11" applyBorder="1" fontId="5" applyFont="1" fillId="0" applyAlignment="1">
      <alignment horizontal="center"/>
    </xf>
    <xf xfId="0" numFmtId="0" borderId="11" applyBorder="1" fontId="5" applyFont="1" fillId="0" applyAlignment="1">
      <alignment horizontal="center"/>
    </xf>
    <xf xfId="0" numFmtId="3" applyNumberFormat="1" borderId="31" applyBorder="1" fontId="6" applyFont="1" fillId="2" applyFill="1" applyAlignment="1">
      <alignment horizontal="center"/>
    </xf>
    <xf xfId="0" numFmtId="3" applyNumberFormat="1" borderId="32" applyBorder="1" fontId="6" applyFont="1" fillId="0" applyAlignment="1">
      <alignment horizontal="center"/>
    </xf>
    <xf xfId="0" numFmtId="0" borderId="39" applyBorder="1" fontId="5" applyFont="1" fillId="0" applyAlignment="1">
      <alignment horizontal="center"/>
    </xf>
    <xf xfId="0" numFmtId="3" applyNumberFormat="1" borderId="40" applyBorder="1" fontId="5" applyFont="1" fillId="0" applyAlignment="1">
      <alignment horizontal="center"/>
    </xf>
    <xf xfId="0" numFmtId="3" applyNumberFormat="1" borderId="41" applyBorder="1" fontId="5" applyFont="1" fillId="0" applyAlignment="1">
      <alignment horizontal="center"/>
    </xf>
    <xf xfId="0" numFmtId="0" borderId="41" applyBorder="1" fontId="5" applyFont="1" fillId="0" applyAlignment="1">
      <alignment horizontal="center"/>
    </xf>
    <xf xfId="0" numFmtId="3" applyNumberFormat="1" borderId="9" applyBorder="1" fontId="5" applyFont="1" fillId="0" applyAlignment="1">
      <alignment horizontal="center"/>
    </xf>
    <xf xfId="0" numFmtId="3" applyNumberFormat="1" borderId="39" applyBorder="1" fontId="6" applyFont="1" fillId="2" applyFill="1" applyAlignment="1">
      <alignment horizontal="center"/>
    </xf>
    <xf xfId="0" numFmtId="3" applyNumberFormat="1" borderId="40" applyBorder="1" fontId="6" applyFont="1" fillId="0" applyAlignment="1">
      <alignment horizontal="center"/>
    </xf>
    <xf xfId="0" numFmtId="3" applyNumberFormat="1" borderId="41" applyBorder="1" fontId="5" applyFont="1" fillId="0" applyAlignment="1">
      <alignment horizontal="center" vertical="top"/>
    </xf>
    <xf xfId="0" numFmtId="0" borderId="41" applyBorder="1" fontId="5" applyFont="1" fillId="0" applyAlignment="1">
      <alignment horizontal="left"/>
    </xf>
    <xf xfId="0" numFmtId="0" borderId="39" applyBorder="1" fontId="5" applyFont="1" fillId="0" applyAlignment="1">
      <alignment horizontal="center" vertical="top"/>
    </xf>
    <xf xfId="0" numFmtId="3" applyNumberFormat="1" borderId="9" applyBorder="1" fontId="5" applyFont="1" fillId="0" applyAlignment="1">
      <alignment horizontal="center" vertical="top"/>
    </xf>
    <xf xfId="0" numFmtId="3" applyNumberFormat="1" borderId="40" applyBorder="1" fontId="5" applyFont="1" fillId="0" applyAlignment="1">
      <alignment horizontal="center" vertical="top"/>
    </xf>
    <xf xfId="0" numFmtId="3" applyNumberFormat="1" borderId="39" applyBorder="1" fontId="6" applyFont="1" fillId="2" applyFill="1" applyAlignment="1">
      <alignment horizontal="center" vertical="top"/>
    </xf>
    <xf xfId="0" numFmtId="3" applyNumberFormat="1" borderId="40" applyBorder="1" fontId="6" applyFont="1" fillId="0" applyAlignment="1">
      <alignment horizontal="center" vertical="top"/>
    </xf>
    <xf xfId="0" numFmtId="4" applyNumberFormat="1" borderId="41" applyBorder="1" fontId="5" applyFont="1" fillId="0" applyAlignment="1">
      <alignment horizontal="center"/>
    </xf>
    <xf xfId="0" numFmtId="0" borderId="31" applyBorder="1" fontId="5" applyFont="1" fillId="0" applyAlignment="1">
      <alignment horizontal="left"/>
    </xf>
    <xf xfId="0" numFmtId="3" applyNumberFormat="1" borderId="33" applyBorder="1" fontId="5" applyFont="1" fillId="0" applyAlignment="1">
      <alignment horizontal="left"/>
    </xf>
    <xf xfId="0" numFmtId="14" applyNumberFormat="1" borderId="32" applyBorder="1" fontId="5" applyFont="1" fillId="0" applyAlignment="1">
      <alignment horizontal="center"/>
    </xf>
    <xf xfId="0" numFmtId="3" applyNumberFormat="1" borderId="42" applyBorder="1" fontId="5" applyFont="1" fillId="0" applyAlignment="1">
      <alignment horizontal="center"/>
    </xf>
    <xf xfId="0" numFmtId="14" applyNumberFormat="1" borderId="40" applyBorder="1" fontId="5" applyFont="1" fillId="0" applyAlignment="1">
      <alignment horizontal="center"/>
    </xf>
    <xf xfId="0" numFmtId="0" borderId="13" applyBorder="1" fontId="5" applyFont="1" fillId="0" applyAlignment="1">
      <alignment horizontal="center"/>
    </xf>
    <xf xfId="0" numFmtId="3" applyNumberFormat="1" borderId="43" applyBorder="1" fontId="5" applyFont="1" fillId="0" applyAlignment="1">
      <alignment horizontal="center"/>
    </xf>
    <xf xfId="0" numFmtId="3" applyNumberFormat="1" borderId="39" applyBorder="1" fontId="5" applyFont="1" fillId="0" applyAlignment="1">
      <alignment horizontal="center"/>
    </xf>
    <xf xfId="0" numFmtId="3" applyNumberFormat="1" borderId="28" applyBorder="1" fontId="4" applyFont="1" fillId="0" applyAlignment="1">
      <alignment horizontal="center"/>
    </xf>
    <xf xfId="0" numFmtId="0" borderId="38" applyBorder="1" fontId="4" applyFont="1" fillId="0" applyAlignment="1">
      <alignment horizontal="center"/>
    </xf>
    <xf xfId="0" numFmtId="3" applyNumberFormat="1" borderId="38" applyBorder="1" fontId="4" applyFont="1" fillId="0" applyAlignment="1">
      <alignment horizontal="center"/>
    </xf>
    <xf xfId="0" numFmtId="3" applyNumberFormat="1" borderId="37" applyBorder="1" fontId="4" applyFont="1" fillId="0" applyAlignment="1">
      <alignment horizontal="right"/>
    </xf>
    <xf xfId="0" numFmtId="3" applyNumberFormat="1" borderId="36" applyBorder="1" fontId="7" applyFont="1" fillId="0" applyAlignment="1">
      <alignment horizontal="center"/>
    </xf>
    <xf xfId="0" numFmtId="3" applyNumberFormat="1" borderId="38" applyBorder="1" fontId="7" applyFont="1" fillId="0" applyAlignment="1">
      <alignment horizontal="center"/>
    </xf>
    <xf xfId="0" numFmtId="3" applyNumberFormat="1" borderId="37" applyBorder="1" fontId="7" applyFont="1" fillId="0" applyAlignment="1">
      <alignment horizontal="center"/>
    </xf>
    <xf xfId="0" numFmtId="0" borderId="39" applyBorder="1" fontId="2" applyFont="1" fillId="3" applyFill="1" applyAlignment="1">
      <alignment horizontal="center"/>
    </xf>
    <xf xfId="0" numFmtId="3" applyNumberFormat="1" borderId="9" applyBorder="1" fontId="2" applyFont="1" fillId="3" applyFill="1" applyAlignment="1">
      <alignment horizontal="center"/>
    </xf>
    <xf xfId="0" numFmtId="14" applyNumberFormat="1" borderId="40" applyBorder="1" fontId="2" applyFont="1" fillId="0" applyAlignment="1">
      <alignment horizontal="center"/>
    </xf>
    <xf xfId="0" numFmtId="3" applyNumberFormat="1" borderId="44" applyBorder="1" fontId="2" applyFont="1" fillId="3" applyFill="1" applyAlignment="1">
      <alignment horizontal="center"/>
    </xf>
    <xf xfId="0" numFmtId="4" applyNumberFormat="1" borderId="4" applyBorder="1" fontId="4" applyFont="1" fillId="0" applyAlignment="1">
      <alignment horizontal="center"/>
    </xf>
    <xf xfId="0" numFmtId="0" borderId="39" applyBorder="1" fontId="2" applyFont="1" fillId="0" applyAlignment="1">
      <alignment horizontal="center"/>
    </xf>
    <xf xfId="0" numFmtId="4" applyNumberFormat="1" borderId="41" applyBorder="1" fontId="2" applyFont="1" fillId="0" applyAlignment="1">
      <alignment horizontal="center"/>
    </xf>
    <xf xfId="0" numFmtId="0" borderId="31" applyBorder="1" fontId="2" applyFont="1" fillId="0" applyAlignment="1">
      <alignment horizontal="center"/>
    </xf>
    <xf xfId="0" numFmtId="0" borderId="33" applyBorder="1" fontId="2" applyFont="1" fillId="0" applyAlignment="1">
      <alignment horizontal="center"/>
    </xf>
    <xf xfId="0" numFmtId="3" applyNumberFormat="1" borderId="33" applyBorder="1" fontId="2" applyFont="1" fillId="0" applyAlignment="1">
      <alignment horizontal="center"/>
    </xf>
    <xf xfId="0" numFmtId="3" applyNumberFormat="1" borderId="33" applyBorder="1" fontId="2" applyFont="1" fillId="0" applyAlignment="1">
      <alignment horizontal="left"/>
    </xf>
    <xf xfId="0" numFmtId="0" borderId="32" applyBorder="1" fontId="2" applyFont="1" fillId="0" applyAlignment="1">
      <alignment horizontal="left"/>
    </xf>
    <xf xfId="0" numFmtId="0" borderId="9" applyBorder="1" fontId="2" applyFont="1" fillId="0" applyAlignment="1">
      <alignment horizontal="center"/>
    </xf>
    <xf xfId="0" numFmtId="0" borderId="40" applyBorder="1" fontId="2" applyFont="1" fillId="0" applyAlignment="1">
      <alignment horizontal="center"/>
    </xf>
    <xf xfId="0" numFmtId="3" applyNumberFormat="1" borderId="4" applyBorder="1" fontId="8" applyFont="1" fillId="0" applyAlignment="1">
      <alignment horizontal="center"/>
    </xf>
    <xf xfId="0" numFmtId="0" borderId="36" applyBorder="1" fontId="2" applyFont="1" fillId="0" applyAlignment="1">
      <alignment horizontal="center"/>
    </xf>
    <xf xfId="0" numFmtId="0" borderId="38" applyBorder="1" fontId="2" applyFont="1" fillId="0" applyAlignment="1">
      <alignment horizontal="center"/>
    </xf>
    <xf xfId="0" numFmtId="3" applyNumberFormat="1" borderId="38" applyBorder="1" fontId="2" applyFont="1" fillId="0" applyAlignment="1">
      <alignment horizontal="center"/>
    </xf>
    <xf xfId="0" numFmtId="0" borderId="37" applyBorder="1" fontId="2" applyFont="1" fillId="0" applyAlignment="1">
      <alignment horizontal="center"/>
    </xf>
    <xf xfId="0" numFmtId="164" applyNumberFormat="1" borderId="40" applyBorder="1" fontId="2" applyFont="1" fillId="0" applyAlignment="1">
      <alignment horizontal="center"/>
    </xf>
    <xf xfId="0" numFmtId="3" applyNumberFormat="1" borderId="41" applyBorder="1" fontId="2" applyFont="1" fillId="0" applyAlignment="1">
      <alignment horizontal="center"/>
    </xf>
    <xf xfId="0" numFmtId="0" borderId="33" applyBorder="1" fontId="2" applyFont="1" fillId="0" applyAlignment="1">
      <alignment horizontal="left"/>
    </xf>
    <xf xfId="0" numFmtId="0" borderId="40" applyBorder="1" fontId="2" applyFont="1" fillId="0" applyAlignment="1">
      <alignment horizontal="left"/>
    </xf>
    <xf xfId="0" numFmtId="3" applyNumberFormat="1" borderId="32" applyBorder="1" fontId="2" applyFont="1" fillId="0" applyAlignment="1">
      <alignment horizontal="left"/>
    </xf>
    <xf xfId="0" numFmtId="3" applyNumberFormat="1" borderId="40" applyBorder="1" fontId="2" applyFont="1" fillId="0" applyAlignment="1">
      <alignment horizontal="left"/>
    </xf>
    <xf xfId="0" numFmtId="164" applyNumberFormat="1" borderId="45" applyBorder="1" fontId="2" applyFont="1" fillId="0" applyAlignment="1">
      <alignment horizontal="center"/>
    </xf>
    <xf xfId="0" numFmtId="3" applyNumberFormat="1" borderId="1" applyBorder="1" fontId="2" applyFont="1" fillId="0" applyAlignment="1">
      <alignment horizontal="left"/>
    </xf>
    <xf xfId="0" numFmtId="3" applyNumberFormat="1" borderId="31" applyBorder="1" fontId="2" applyFont="1" fillId="0" applyAlignment="1">
      <alignment horizontal="left"/>
    </xf>
    <xf xfId="0" numFmtId="3" applyNumberFormat="1" borderId="39" applyBorder="1" fontId="2" applyFont="1" fillId="0" applyAlignment="1">
      <alignment horizontal="left"/>
    </xf>
    <xf xfId="0" numFmtId="164" applyNumberFormat="1" borderId="37" applyBorder="1" fontId="2" applyFont="1" fillId="0" applyAlignment="1">
      <alignment horizontal="center"/>
    </xf>
    <xf xfId="0" numFmtId="3" applyNumberFormat="1" borderId="36" applyBorder="1" fontId="2" applyFont="1" fillId="0" applyAlignment="1">
      <alignment horizontal="left"/>
    </xf>
    <xf xfId="0" numFmtId="3" applyNumberFormat="1" borderId="37" applyBorder="1" fontId="2" applyFont="1" fillId="0" applyAlignment="1">
      <alignment horizontal="left"/>
    </xf>
    <xf xfId="0" numFmtId="14" applyNumberFormat="1" borderId="4" applyBorder="1" fontId="2" applyFont="1" fillId="0" applyAlignment="1">
      <alignment horizontal="left"/>
    </xf>
    <xf xfId="0" numFmtId="0" borderId="38" applyBorder="1" fontId="2" applyFont="1" fillId="0" applyAlignment="1">
      <alignment horizontal="left"/>
    </xf>
    <xf xfId="0" numFmtId="3" applyNumberFormat="1" borderId="38" applyBorder="1" fontId="2" applyFont="1" fillId="0" applyAlignment="1">
      <alignment horizontal="left"/>
    </xf>
    <xf xfId="0" numFmtId="0" borderId="46" applyBorder="1" fontId="2" applyFont="1" fillId="0" applyAlignment="1">
      <alignment horizontal="center"/>
    </xf>
    <xf xfId="0" numFmtId="3" applyNumberFormat="1" borderId="22" applyBorder="1" fontId="2" applyFont="1" fillId="0" applyAlignment="1">
      <alignment horizontal="center"/>
    </xf>
    <xf xfId="0" numFmtId="14" applyNumberFormat="1" borderId="4" applyBorder="1" fontId="2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4" applyNumberFormat="1" borderId="47" applyBorder="1" fontId="8" applyFont="1" fillId="0" applyAlignment="1">
      <alignment horizontal="center"/>
    </xf>
    <xf xfId="0" numFmtId="0" borderId="11" applyBorder="1" fontId="2" applyFont="1" fillId="0" applyAlignment="1">
      <alignment horizontal="center"/>
    </xf>
    <xf xfId="0" numFmtId="3" applyNumberFormat="1" borderId="21" applyBorder="1" fontId="2" applyFont="1" fillId="0" applyAlignment="1">
      <alignment horizontal="left"/>
    </xf>
    <xf xfId="0" numFmtId="4" applyNumberFormat="1" borderId="34" applyBorder="1" fontId="2" applyFont="1" fillId="0" applyAlignment="1">
      <alignment horizontal="right"/>
    </xf>
    <xf xfId="0" numFmtId="0" borderId="13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9"/>
  <sheetViews>
    <sheetView workbookViewId="0"/>
  </sheetViews>
  <sheetFormatPr defaultRowHeight="15" x14ac:dyDescent="0.25"/>
  <cols>
    <col min="1" max="1" style="85" width="17.719285714285714" customWidth="1" bestFit="1"/>
    <col min="2" max="2" style="86" width="12.290714285714287" customWidth="1" bestFit="1"/>
    <col min="3" max="3" style="86" width="9.005" customWidth="1" bestFit="1"/>
    <col min="4" max="4" style="86" width="13.290714285714287" customWidth="1" bestFit="1"/>
    <col min="5" max="5" style="67" width="14.290714285714287" customWidth="1" bestFit="1"/>
    <col min="6" max="6" style="86" width="13.576428571428572" customWidth="1" bestFit="1"/>
    <col min="7" max="7" style="86" width="12.862142857142858" customWidth="1" bestFit="1"/>
    <col min="8" max="8" style="86" width="15.147857142857141" customWidth="1" bestFit="1"/>
    <col min="9" max="9" style="68" width="38.86214285714286" customWidth="1" bestFit="1"/>
    <col min="10" max="10" style="85" width="9.43357142857143" customWidth="1" bestFit="1"/>
    <col min="11" max="11" style="86" width="13.576428571428572" customWidth="1" bestFit="1"/>
    <col min="12" max="12" style="86" width="12.290714285714287" customWidth="1" bestFit="1"/>
    <col min="13" max="13" style="86" width="13.576428571428572" customWidth="1" bestFit="1"/>
    <col min="14" max="14" style="86" width="13.576428571428572" customWidth="1" bestFit="1"/>
    <col min="15" max="15" style="86" width="13.576428571428572" customWidth="1" bestFit="1"/>
    <col min="16" max="16" style="86" width="13.576428571428572" customWidth="1" bestFit="1"/>
    <col min="17" max="17" style="85" width="13.576428571428572" customWidth="1" bestFit="1"/>
    <col min="18" max="18" style="85" width="13.576428571428572" customWidth="1" bestFit="1"/>
  </cols>
  <sheetData>
    <row x14ac:dyDescent="0.25" r="1" customHeight="1" ht="23.25">
      <c r="A1" s="88" t="s">
        <v>116</v>
      </c>
      <c r="B1" s="89"/>
      <c r="C1" s="89"/>
      <c r="D1" s="89"/>
      <c r="E1" s="90" t="s">
        <v>117</v>
      </c>
      <c r="F1" s="91"/>
      <c r="G1" s="92"/>
      <c r="H1" s="71" t="s">
        <v>118</v>
      </c>
      <c r="I1" s="6"/>
      <c r="J1" s="6"/>
      <c r="K1" s="71"/>
      <c r="L1" s="71"/>
      <c r="M1" s="71"/>
      <c r="N1" s="71"/>
      <c r="O1" s="71"/>
      <c r="P1" s="71"/>
      <c r="Q1" s="6"/>
      <c r="R1" s="70"/>
    </row>
    <row x14ac:dyDescent="0.25" r="2" customHeight="1" ht="19.5">
      <c r="A2" s="93" t="s">
        <v>33</v>
      </c>
      <c r="B2" s="94">
        <v>100</v>
      </c>
      <c r="C2" s="95" t="s">
        <v>119</v>
      </c>
      <c r="D2" s="96" t="s">
        <v>120</v>
      </c>
      <c r="E2" s="97" t="s">
        <v>121</v>
      </c>
      <c r="F2" s="96" t="s">
        <v>122</v>
      </c>
      <c r="G2" s="98" t="s">
        <v>123</v>
      </c>
      <c r="H2" s="99" t="s">
        <v>124</v>
      </c>
      <c r="I2" s="100" t="s">
        <v>34</v>
      </c>
      <c r="J2" s="101" t="s">
        <v>35</v>
      </c>
      <c r="K2" s="102" t="s">
        <v>36</v>
      </c>
      <c r="L2" s="102" t="s">
        <v>37</v>
      </c>
      <c r="M2" s="102" t="s">
        <v>38</v>
      </c>
      <c r="N2" s="103" t="s">
        <v>125</v>
      </c>
      <c r="O2" s="102" t="s">
        <v>37</v>
      </c>
      <c r="P2" s="96" t="s">
        <v>38</v>
      </c>
      <c r="Q2" s="104"/>
      <c r="R2" s="70"/>
    </row>
    <row x14ac:dyDescent="0.25" r="3" customHeight="1" ht="19.5">
      <c r="A3" s="105"/>
      <c r="B3" s="106"/>
      <c r="C3" s="107"/>
      <c r="D3" s="108"/>
      <c r="E3" s="109">
        <f>C10/B6</f>
      </c>
      <c r="F3" s="110">
        <v>120</v>
      </c>
      <c r="G3" s="98"/>
      <c r="H3" s="111"/>
      <c r="I3" s="112"/>
      <c r="J3" s="113"/>
      <c r="K3" s="114" t="s">
        <v>44</v>
      </c>
      <c r="L3" s="114"/>
      <c r="M3" s="114"/>
      <c r="N3" s="114" t="s">
        <v>126</v>
      </c>
      <c r="O3" s="114"/>
      <c r="P3" s="110"/>
      <c r="Q3" s="104"/>
      <c r="R3" s="70"/>
    </row>
    <row x14ac:dyDescent="0.25" r="4" customHeight="1" ht="19.5">
      <c r="A4" s="100" t="s">
        <v>127</v>
      </c>
      <c r="B4" s="96">
        <v>1</v>
      </c>
      <c r="C4" s="98"/>
      <c r="D4" s="98"/>
      <c r="E4" s="115"/>
      <c r="F4" s="98"/>
      <c r="G4" s="98"/>
      <c r="H4" s="116">
        <v>1</v>
      </c>
      <c r="I4" s="117" t="s">
        <v>48</v>
      </c>
      <c r="J4" s="100" t="s">
        <v>49</v>
      </c>
      <c r="K4" s="102">
        <v>1420</v>
      </c>
      <c r="L4" s="102">
        <v>30</v>
      </c>
      <c r="M4" s="96">
        <f>(K4*L4)</f>
      </c>
      <c r="N4" s="118">
        <v>4225</v>
      </c>
      <c r="O4" s="102">
        <v>30</v>
      </c>
      <c r="P4" s="119">
        <f>(N4*O4)</f>
      </c>
      <c r="Q4" s="104"/>
      <c r="R4" s="70"/>
    </row>
    <row x14ac:dyDescent="0.25" r="5" customHeight="1" ht="18.75">
      <c r="A5" s="120" t="s">
        <v>128</v>
      </c>
      <c r="B5" s="121">
        <f>M12</f>
      </c>
      <c r="C5" s="98"/>
      <c r="D5" s="98"/>
      <c r="E5" s="115"/>
      <c r="F5" s="98"/>
      <c r="G5" s="98"/>
      <c r="H5" s="122">
        <v>2</v>
      </c>
      <c r="I5" s="123" t="s">
        <v>53</v>
      </c>
      <c r="J5" s="120" t="s">
        <v>54</v>
      </c>
      <c r="K5" s="124">
        <v>5000</v>
      </c>
      <c r="L5" s="124">
        <v>4</v>
      </c>
      <c r="M5" s="121">
        <f>(K5*L5)</f>
      </c>
      <c r="N5" s="125">
        <v>11500</v>
      </c>
      <c r="O5" s="124">
        <v>4</v>
      </c>
      <c r="P5" s="126">
        <f>(N5*O5)</f>
      </c>
      <c r="Q5" s="104"/>
      <c r="R5" s="70"/>
    </row>
    <row x14ac:dyDescent="0.25" r="6" customHeight="1" ht="18.75">
      <c r="A6" s="120" t="s">
        <v>129</v>
      </c>
      <c r="B6" s="126">
        <f>N12</f>
      </c>
      <c r="C6" s="98"/>
      <c r="D6" s="98"/>
      <c r="E6" s="115"/>
      <c r="F6" s="98"/>
      <c r="G6" s="98"/>
      <c r="H6" s="122">
        <v>3</v>
      </c>
      <c r="I6" s="123" t="s">
        <v>59</v>
      </c>
      <c r="J6" s="120" t="s">
        <v>60</v>
      </c>
      <c r="K6" s="124">
        <v>210</v>
      </c>
      <c r="L6" s="124">
        <v>50</v>
      </c>
      <c r="M6" s="121">
        <f>(K6*L6)</f>
      </c>
      <c r="N6" s="125">
        <v>900</v>
      </c>
      <c r="O6" s="124">
        <v>50</v>
      </c>
      <c r="P6" s="126">
        <f>(N6*O6)</f>
      </c>
      <c r="Q6" s="104"/>
      <c r="R6" s="70"/>
    </row>
    <row x14ac:dyDescent="0.25" r="7" customHeight="1" ht="19.5">
      <c r="A7" s="112" t="s">
        <v>130</v>
      </c>
      <c r="B7" s="110">
        <f>CEILING(B2*B5,100)</f>
      </c>
      <c r="C7" s="98"/>
      <c r="D7" s="98"/>
      <c r="E7" s="115"/>
      <c r="F7" s="98"/>
      <c r="G7" s="98"/>
      <c r="H7" s="127">
        <v>4</v>
      </c>
      <c r="I7" s="128" t="s">
        <v>65</v>
      </c>
      <c r="J7" s="129" t="s">
        <v>66</v>
      </c>
      <c r="K7" s="130">
        <v>10000</v>
      </c>
      <c r="L7" s="130">
        <v>1</v>
      </c>
      <c r="M7" s="131">
        <f>(K7*L7)</f>
      </c>
      <c r="N7" s="132">
        <v>27000</v>
      </c>
      <c r="O7" s="130">
        <v>1</v>
      </c>
      <c r="P7" s="133">
        <f>(N7*O7)</f>
      </c>
      <c r="Q7" s="104"/>
      <c r="R7" s="70"/>
    </row>
    <row x14ac:dyDescent="0.25" r="8" customHeight="1" ht="19.5">
      <c r="A8" s="105"/>
      <c r="B8" s="106"/>
      <c r="C8" s="98"/>
      <c r="D8" s="106"/>
      <c r="E8" s="115"/>
      <c r="F8" s="98"/>
      <c r="G8" s="98"/>
      <c r="H8" s="134"/>
      <c r="I8" s="128" t="s">
        <v>71</v>
      </c>
      <c r="J8" s="120"/>
      <c r="K8" s="124"/>
      <c r="L8" s="124"/>
      <c r="M8" s="121"/>
      <c r="N8" s="125"/>
      <c r="O8" s="124"/>
      <c r="P8" s="126"/>
      <c r="Q8" s="104"/>
      <c r="R8" s="70"/>
    </row>
    <row x14ac:dyDescent="0.25" r="9" customHeight="1" ht="18.75">
      <c r="A9" s="135"/>
      <c r="B9" s="136" t="s">
        <v>131</v>
      </c>
      <c r="C9" s="102" t="s">
        <v>132</v>
      </c>
      <c r="D9" s="136" t="s">
        <v>133</v>
      </c>
      <c r="E9" s="137" t="s">
        <v>134</v>
      </c>
      <c r="F9" s="98"/>
      <c r="G9" s="116" t="s">
        <v>135</v>
      </c>
      <c r="H9" s="138">
        <v>5</v>
      </c>
      <c r="I9" s="123" t="s">
        <v>75</v>
      </c>
      <c r="J9" s="120" t="s">
        <v>66</v>
      </c>
      <c r="K9" s="124">
        <v>9500</v>
      </c>
      <c r="L9" s="124">
        <v>2</v>
      </c>
      <c r="M9" s="121">
        <f>(K9*L9)</f>
      </c>
      <c r="N9" s="125">
        <v>50000</v>
      </c>
      <c r="O9" s="124">
        <v>2</v>
      </c>
      <c r="P9" s="126">
        <f>(N9*O9)</f>
      </c>
      <c r="Q9" s="104"/>
      <c r="R9" s="70"/>
    </row>
    <row x14ac:dyDescent="0.25" r="10" customHeight="1" ht="19.5">
      <c r="A10" s="120" t="s">
        <v>136</v>
      </c>
      <c r="B10" s="92">
        <v>107600</v>
      </c>
      <c r="C10" s="124">
        <v>50000</v>
      </c>
      <c r="D10" s="92">
        <v>1</v>
      </c>
      <c r="E10" s="139">
        <v>44075</v>
      </c>
      <c r="F10" s="98"/>
      <c r="G10" s="134">
        <f>C10/B10</f>
      </c>
      <c r="H10" s="108">
        <v>6</v>
      </c>
      <c r="I10" s="140" t="s">
        <v>137</v>
      </c>
      <c r="J10" s="112" t="s">
        <v>138</v>
      </c>
      <c r="K10" s="114">
        <v>5500</v>
      </c>
      <c r="L10" s="114">
        <v>1</v>
      </c>
      <c r="M10" s="110">
        <f>(K10*L10)</f>
      </c>
      <c r="N10" s="125">
        <v>13000</v>
      </c>
      <c r="O10" s="124">
        <v>1</v>
      </c>
      <c r="P10" s="126">
        <f>(N10*O10)</f>
      </c>
      <c r="Q10" s="104"/>
      <c r="R10" s="70"/>
    </row>
    <row x14ac:dyDescent="0.25" r="11" customHeight="1" ht="19.5">
      <c r="A11" s="120" t="s">
        <v>139</v>
      </c>
      <c r="B11" s="92">
        <v>117800</v>
      </c>
      <c r="C11" s="124">
        <v>15000</v>
      </c>
      <c r="D11" s="92"/>
      <c r="E11" s="139">
        <v>44110</v>
      </c>
      <c r="F11" s="98"/>
      <c r="G11" s="134">
        <f>C11/B11</f>
      </c>
      <c r="H11" s="141" t="s">
        <v>140</v>
      </c>
      <c r="I11" s="101"/>
      <c r="J11" s="101"/>
      <c r="K11" s="102"/>
      <c r="L11" s="102"/>
      <c r="M11" s="96">
        <f>SUM(M4:M10)</f>
      </c>
      <c r="N11" s="142">
        <f>SUM(P4:P10)</f>
      </c>
      <c r="O11" s="124"/>
      <c r="P11" s="121"/>
      <c r="Q11" s="104"/>
      <c r="R11" s="70"/>
    </row>
    <row x14ac:dyDescent="0.25" r="12" customHeight="1" ht="20.25">
      <c r="A12" s="120" t="s">
        <v>141</v>
      </c>
      <c r="B12" s="92">
        <v>124200</v>
      </c>
      <c r="C12" s="124">
        <v>10000</v>
      </c>
      <c r="D12" s="92"/>
      <c r="E12" s="139">
        <v>44144</v>
      </c>
      <c r="F12" s="98"/>
      <c r="G12" s="134">
        <f>C12/B12</f>
      </c>
      <c r="H12" s="143" t="s">
        <v>142</v>
      </c>
      <c r="I12" s="144"/>
      <c r="J12" s="144"/>
      <c r="K12" s="145"/>
      <c r="L12" s="145"/>
      <c r="M12" s="146">
        <f>(M11*1)</f>
      </c>
      <c r="N12" s="147">
        <f>(N11*1)</f>
      </c>
      <c r="O12" s="148"/>
      <c r="P12" s="149"/>
      <c r="Q12" s="104"/>
      <c r="R12" s="70"/>
    </row>
    <row x14ac:dyDescent="0.25" r="13" customHeight="1" ht="20.25">
      <c r="A13" s="150" t="s">
        <v>143</v>
      </c>
      <c r="B13" s="92">
        <v>132950</v>
      </c>
      <c r="C13" s="151">
        <v>50000</v>
      </c>
      <c r="D13" s="92"/>
      <c r="E13" s="152" t="s">
        <v>144</v>
      </c>
      <c r="F13" s="153"/>
      <c r="G13" s="134">
        <f>C13/B13</f>
      </c>
      <c r="H13" s="154"/>
      <c r="I13" s="80"/>
      <c r="J13" s="80"/>
      <c r="K13" s="14"/>
      <c r="L13" s="14"/>
      <c r="M13" s="14"/>
      <c r="N13" s="14"/>
      <c r="O13" s="14"/>
      <c r="P13" s="14"/>
      <c r="Q13" s="6"/>
      <c r="R13" s="70"/>
    </row>
    <row x14ac:dyDescent="0.25" r="14" customHeight="1" ht="19.5">
      <c r="A14" s="155" t="s">
        <v>145</v>
      </c>
      <c r="B14" s="92">
        <v>157150</v>
      </c>
      <c r="C14" s="151">
        <v>15000</v>
      </c>
      <c r="D14" s="92">
        <v>1</v>
      </c>
      <c r="E14" s="152">
        <v>44348</v>
      </c>
      <c r="F14" s="71"/>
      <c r="G14" s="156">
        <f>C14/B14</f>
      </c>
      <c r="H14" s="82"/>
      <c r="I14" s="6"/>
      <c r="J14" s="70"/>
      <c r="K14" s="20"/>
      <c r="L14" s="20"/>
      <c r="M14" s="20"/>
      <c r="N14" s="20"/>
      <c r="O14" s="20"/>
      <c r="P14" s="20"/>
      <c r="Q14" s="70"/>
      <c r="R14" s="70"/>
    </row>
    <row x14ac:dyDescent="0.25" r="15" customHeight="1" ht="19.5">
      <c r="A15" s="155" t="s">
        <v>146</v>
      </c>
      <c r="B15" s="92">
        <v>174450</v>
      </c>
      <c r="C15" s="151">
        <v>15000</v>
      </c>
      <c r="D15" s="92">
        <v>1</v>
      </c>
      <c r="E15" s="152">
        <v>44349</v>
      </c>
      <c r="F15" s="71"/>
      <c r="G15" s="156">
        <f>C15/B15</f>
      </c>
      <c r="H15" s="82"/>
      <c r="I15" s="157"/>
      <c r="J15" s="158"/>
      <c r="K15" s="159"/>
      <c r="L15" s="159"/>
      <c r="M15" s="159"/>
      <c r="N15" s="159"/>
      <c r="O15" s="159"/>
      <c r="P15" s="160"/>
      <c r="Q15" s="161"/>
      <c r="R15" s="70"/>
    </row>
    <row x14ac:dyDescent="0.25" r="16" customHeight="1" ht="19.5">
      <c r="A16" s="155" t="s">
        <v>147</v>
      </c>
      <c r="B16" s="92">
        <v>225600</v>
      </c>
      <c r="C16" s="151">
        <v>15000</v>
      </c>
      <c r="D16" s="92">
        <v>1</v>
      </c>
      <c r="E16" s="152">
        <v>44272</v>
      </c>
      <c r="F16" s="20"/>
      <c r="G16" s="156">
        <f>C16/B16</f>
      </c>
      <c r="H16" s="82"/>
      <c r="I16" s="155" t="s">
        <v>112</v>
      </c>
      <c r="J16" s="162"/>
      <c r="K16" s="92"/>
      <c r="L16" s="92"/>
      <c r="M16" s="92"/>
      <c r="N16" s="92"/>
      <c r="O16" s="92"/>
      <c r="P16" s="92"/>
      <c r="Q16" s="163"/>
      <c r="R16" s="70"/>
    </row>
    <row x14ac:dyDescent="0.25" r="17" customHeight="1" ht="19.5">
      <c r="A17" s="155" t="s">
        <v>148</v>
      </c>
      <c r="B17" s="92">
        <v>224600</v>
      </c>
      <c r="C17" s="151">
        <v>25000</v>
      </c>
      <c r="D17" s="92">
        <v>1</v>
      </c>
      <c r="E17" s="152">
        <v>44381</v>
      </c>
      <c r="F17" s="164"/>
      <c r="G17" s="156">
        <f>C17/B17</f>
      </c>
      <c r="H17" s="82"/>
      <c r="I17" s="155" t="s">
        <v>149</v>
      </c>
      <c r="J17" s="162"/>
      <c r="K17" s="92"/>
      <c r="L17" s="92"/>
      <c r="M17" s="92"/>
      <c r="N17" s="92"/>
      <c r="O17" s="92"/>
      <c r="P17" s="92"/>
      <c r="Q17" s="163"/>
      <c r="R17" s="70"/>
    </row>
    <row x14ac:dyDescent="0.25" r="18" customHeight="1" ht="20.25">
      <c r="A18" s="155" t="s">
        <v>150</v>
      </c>
      <c r="B18" s="92">
        <v>299600</v>
      </c>
      <c r="C18" s="151">
        <v>80000</v>
      </c>
      <c r="D18" s="92">
        <v>1</v>
      </c>
      <c r="E18" s="152">
        <v>41203</v>
      </c>
      <c r="F18" s="71"/>
      <c r="G18" s="156">
        <f>C18/B18</f>
      </c>
      <c r="H18" s="82"/>
      <c r="I18" s="165" t="s">
        <v>151</v>
      </c>
      <c r="J18" s="166"/>
      <c r="K18" s="167"/>
      <c r="L18" s="167"/>
      <c r="M18" s="167"/>
      <c r="N18" s="167"/>
      <c r="O18" s="167"/>
      <c r="P18" s="167"/>
      <c r="Q18" s="168"/>
      <c r="R18" s="70"/>
    </row>
    <row x14ac:dyDescent="0.25" r="19" customHeight="1" ht="20.25">
      <c r="A19" s="155" t="s">
        <v>152</v>
      </c>
      <c r="B19" s="92">
        <v>357750</v>
      </c>
      <c r="C19" s="151">
        <v>20000</v>
      </c>
      <c r="D19" s="92">
        <v>1</v>
      </c>
      <c r="E19" s="152">
        <v>44807</v>
      </c>
      <c r="F19" s="71"/>
      <c r="G19" s="156">
        <f>C19/B19</f>
      </c>
      <c r="H19" s="82"/>
      <c r="I19" s="6"/>
      <c r="J19" s="6"/>
      <c r="K19" s="71"/>
      <c r="L19" s="71"/>
      <c r="M19" s="71"/>
      <c r="N19" s="71"/>
      <c r="O19" s="71"/>
      <c r="P19" s="20"/>
      <c r="Q19" s="70"/>
      <c r="R19" s="70"/>
    </row>
    <row x14ac:dyDescent="0.25" r="20" customHeight="1" ht="19.5">
      <c r="A20" s="155" t="s">
        <v>153</v>
      </c>
      <c r="B20" s="92">
        <v>0</v>
      </c>
      <c r="C20" s="151"/>
      <c r="D20" s="92">
        <v>1</v>
      </c>
      <c r="E20" s="169"/>
      <c r="F20" s="71"/>
      <c r="G20" s="170">
        <v>0</v>
      </c>
      <c r="H20" s="82"/>
      <c r="I20" s="6"/>
      <c r="J20" s="6"/>
      <c r="K20" s="71"/>
      <c r="L20" s="71"/>
      <c r="M20" s="71"/>
      <c r="N20" s="71"/>
      <c r="O20" s="71"/>
      <c r="P20" s="20"/>
      <c r="Q20" s="70"/>
      <c r="R20" s="70"/>
    </row>
    <row x14ac:dyDescent="0.25" r="21" customHeight="1" ht="19.5">
      <c r="A21" s="155" t="s">
        <v>154</v>
      </c>
      <c r="B21" s="92">
        <v>0</v>
      </c>
      <c r="C21" s="151"/>
      <c r="D21" s="92">
        <v>1</v>
      </c>
      <c r="E21" s="169"/>
      <c r="F21" s="71"/>
      <c r="G21" s="170">
        <v>0</v>
      </c>
      <c r="H21" s="82"/>
      <c r="I21" s="6"/>
      <c r="J21" s="6"/>
      <c r="K21" s="71"/>
      <c r="L21" s="71"/>
      <c r="M21" s="71"/>
      <c r="N21" s="71"/>
      <c r="O21" s="71"/>
      <c r="P21" s="20"/>
      <c r="Q21" s="70"/>
      <c r="R21" s="70"/>
    </row>
    <row x14ac:dyDescent="0.25" r="22" customHeight="1" ht="19.5">
      <c r="A22" s="155" t="s">
        <v>155</v>
      </c>
      <c r="B22" s="92">
        <v>0</v>
      </c>
      <c r="C22" s="151"/>
      <c r="D22" s="92">
        <v>1</v>
      </c>
      <c r="E22" s="169"/>
      <c r="F22" s="71"/>
      <c r="G22" s="170">
        <v>0</v>
      </c>
      <c r="H22" s="82"/>
      <c r="I22" s="157" t="s">
        <v>156</v>
      </c>
      <c r="J22" s="158"/>
      <c r="K22" s="159"/>
      <c r="L22" s="159"/>
      <c r="M22" s="159"/>
      <c r="N22" s="159"/>
      <c r="O22" s="159"/>
      <c r="P22" s="160"/>
      <c r="Q22" s="171"/>
      <c r="R22" s="161"/>
    </row>
    <row x14ac:dyDescent="0.25" r="23" customHeight="1" ht="19.5">
      <c r="A23" s="155" t="s">
        <v>157</v>
      </c>
      <c r="B23" s="92">
        <v>0</v>
      </c>
      <c r="C23" s="92"/>
      <c r="D23" s="92">
        <v>1</v>
      </c>
      <c r="E23" s="169"/>
      <c r="F23" s="71"/>
      <c r="G23" s="170">
        <v>0</v>
      </c>
      <c r="H23" s="82"/>
      <c r="I23" s="155" t="s">
        <v>158</v>
      </c>
      <c r="J23" s="162"/>
      <c r="K23" s="92"/>
      <c r="L23" s="92"/>
      <c r="M23" s="92"/>
      <c r="N23" s="92"/>
      <c r="O23" s="92"/>
      <c r="P23" s="92"/>
      <c r="Q23" s="162"/>
      <c r="R23" s="172"/>
    </row>
    <row x14ac:dyDescent="0.25" r="24" customHeight="1" ht="19.5">
      <c r="A24" s="155" t="s">
        <v>159</v>
      </c>
      <c r="B24" s="92">
        <v>0</v>
      </c>
      <c r="C24" s="92"/>
      <c r="D24" s="92">
        <v>1</v>
      </c>
      <c r="E24" s="169"/>
      <c r="F24" s="71"/>
      <c r="G24" s="170">
        <v>0</v>
      </c>
      <c r="H24" s="82"/>
      <c r="I24" s="155" t="s">
        <v>160</v>
      </c>
      <c r="J24" s="162"/>
      <c r="K24" s="92"/>
      <c r="L24" s="92"/>
      <c r="M24" s="92"/>
      <c r="N24" s="92"/>
      <c r="O24" s="92"/>
      <c r="P24" s="32"/>
      <c r="Q24" s="162"/>
      <c r="R24" s="172"/>
    </row>
    <row x14ac:dyDescent="0.25" r="25" customHeight="1" ht="20.25">
      <c r="A25" s="155" t="s">
        <v>161</v>
      </c>
      <c r="B25" s="92">
        <v>0</v>
      </c>
      <c r="C25" s="92"/>
      <c r="D25" s="92">
        <v>1</v>
      </c>
      <c r="E25" s="169"/>
      <c r="F25" s="71"/>
      <c r="G25" s="170">
        <v>0</v>
      </c>
      <c r="H25" s="82"/>
      <c r="I25" s="165" t="s">
        <v>162</v>
      </c>
      <c r="J25" s="166"/>
      <c r="K25" s="167"/>
      <c r="L25" s="167"/>
      <c r="M25" s="167"/>
      <c r="N25" s="167"/>
      <c r="O25" s="167"/>
      <c r="P25" s="167"/>
      <c r="Q25" s="166"/>
      <c r="R25" s="168"/>
    </row>
    <row x14ac:dyDescent="0.25" r="26" customHeight="1" ht="20.25">
      <c r="A26" s="155" t="s">
        <v>163</v>
      </c>
      <c r="B26" s="92">
        <v>0</v>
      </c>
      <c r="C26" s="92"/>
      <c r="D26" s="92">
        <v>1</v>
      </c>
      <c r="E26" s="169"/>
      <c r="F26" s="71"/>
      <c r="G26" s="170">
        <v>0</v>
      </c>
      <c r="H26" s="82"/>
      <c r="I26" s="6"/>
      <c r="J26" s="6"/>
      <c r="K26" s="71"/>
      <c r="L26" s="71"/>
      <c r="M26" s="71"/>
      <c r="N26" s="71"/>
      <c r="O26" s="71"/>
      <c r="P26" s="71"/>
      <c r="Q26" s="6"/>
      <c r="R26" s="70"/>
    </row>
    <row x14ac:dyDescent="0.25" r="27" customHeight="1" ht="19.5">
      <c r="A27" s="155" t="s">
        <v>164</v>
      </c>
      <c r="B27" s="92">
        <v>0</v>
      </c>
      <c r="C27" s="92"/>
      <c r="D27" s="92">
        <v>1</v>
      </c>
      <c r="E27" s="169"/>
      <c r="F27" s="20"/>
      <c r="G27" s="170">
        <v>0</v>
      </c>
      <c r="H27" s="82"/>
      <c r="I27" s="6"/>
      <c r="J27" s="70"/>
      <c r="K27" s="20"/>
      <c r="L27" s="20"/>
      <c r="M27" s="20"/>
      <c r="N27" s="20"/>
      <c r="O27" s="20"/>
      <c r="P27" s="20"/>
      <c r="Q27" s="70"/>
      <c r="R27" s="70"/>
    </row>
    <row x14ac:dyDescent="0.25" r="28" customHeight="1" ht="19.5">
      <c r="A28" s="155" t="s">
        <v>165</v>
      </c>
      <c r="B28" s="92">
        <v>0</v>
      </c>
      <c r="C28" s="92"/>
      <c r="D28" s="92">
        <v>1</v>
      </c>
      <c r="E28" s="169"/>
      <c r="F28" s="20"/>
      <c r="G28" s="170">
        <v>0</v>
      </c>
      <c r="H28" s="82"/>
      <c r="I28" s="157" t="s">
        <v>166</v>
      </c>
      <c r="J28" s="171"/>
      <c r="K28" s="160"/>
      <c r="L28" s="160"/>
      <c r="M28" s="173"/>
      <c r="N28" s="20"/>
      <c r="O28" s="20"/>
      <c r="P28" s="20"/>
      <c r="Q28" s="70"/>
      <c r="R28" s="70"/>
    </row>
    <row x14ac:dyDescent="0.25" r="29" customHeight="1" ht="19.5">
      <c r="A29" s="155" t="s">
        <v>167</v>
      </c>
      <c r="B29" s="92">
        <v>0</v>
      </c>
      <c r="C29" s="92"/>
      <c r="D29" s="92">
        <v>1</v>
      </c>
      <c r="E29" s="169"/>
      <c r="F29" s="20"/>
      <c r="G29" s="170">
        <v>0</v>
      </c>
      <c r="H29" s="82"/>
      <c r="I29" s="155"/>
      <c r="J29" s="33"/>
      <c r="K29" s="32"/>
      <c r="L29" s="32"/>
      <c r="M29" s="174"/>
      <c r="N29" s="20"/>
      <c r="O29" s="20"/>
      <c r="P29" s="20"/>
      <c r="Q29" s="70"/>
      <c r="R29" s="70"/>
    </row>
    <row x14ac:dyDescent="0.25" r="30" customHeight="1" ht="19.5">
      <c r="A30" s="155" t="s">
        <v>168</v>
      </c>
      <c r="B30" s="92">
        <v>0</v>
      </c>
      <c r="C30" s="92"/>
      <c r="D30" s="92">
        <v>1</v>
      </c>
      <c r="E30" s="175"/>
      <c r="F30" s="20"/>
      <c r="G30" s="170">
        <v>0</v>
      </c>
      <c r="H30" s="82"/>
      <c r="I30" s="155" t="s">
        <v>169</v>
      </c>
      <c r="J30" s="33"/>
      <c r="K30" s="32"/>
      <c r="L30" s="32"/>
      <c r="M30" s="174"/>
      <c r="N30" s="20"/>
      <c r="O30" s="20"/>
      <c r="P30" s="20"/>
      <c r="Q30" s="70"/>
      <c r="R30" s="70"/>
    </row>
    <row x14ac:dyDescent="0.25" r="31" customHeight="1" ht="19.5">
      <c r="A31" s="155" t="s">
        <v>170</v>
      </c>
      <c r="B31" s="92">
        <v>0</v>
      </c>
      <c r="C31" s="92"/>
      <c r="D31" s="92">
        <v>1</v>
      </c>
      <c r="E31" s="169"/>
      <c r="F31" s="20"/>
      <c r="G31" s="170">
        <v>0</v>
      </c>
      <c r="H31" s="82"/>
      <c r="I31" s="155"/>
      <c r="J31" s="33"/>
      <c r="K31" s="32"/>
      <c r="L31" s="32"/>
      <c r="M31" s="176"/>
      <c r="N31" s="177"/>
      <c r="O31" s="173"/>
      <c r="P31" s="20"/>
      <c r="Q31" s="70"/>
      <c r="R31" s="70"/>
    </row>
    <row x14ac:dyDescent="0.25" r="32" customHeight="1" ht="19.5">
      <c r="A32" s="155" t="s">
        <v>171</v>
      </c>
      <c r="B32" s="92">
        <v>0</v>
      </c>
      <c r="C32" s="92"/>
      <c r="D32" s="92">
        <v>1</v>
      </c>
      <c r="E32" s="169"/>
      <c r="F32" s="20"/>
      <c r="G32" s="170">
        <v>0</v>
      </c>
      <c r="H32" s="82"/>
      <c r="I32" s="155" t="s">
        <v>172</v>
      </c>
      <c r="J32" s="33"/>
      <c r="K32" s="32"/>
      <c r="L32" s="32"/>
      <c r="M32" s="176"/>
      <c r="N32" s="178"/>
      <c r="O32" s="174"/>
      <c r="P32" s="20"/>
      <c r="Q32" s="70"/>
      <c r="R32" s="70"/>
    </row>
    <row x14ac:dyDescent="0.25" r="33" customHeight="1" ht="20.25">
      <c r="A33" s="155" t="s">
        <v>173</v>
      </c>
      <c r="B33" s="92">
        <v>0</v>
      </c>
      <c r="C33" s="92"/>
      <c r="D33" s="92">
        <v>1</v>
      </c>
      <c r="E33" s="179"/>
      <c r="F33" s="20"/>
      <c r="G33" s="170">
        <v>0</v>
      </c>
      <c r="H33" s="82"/>
      <c r="I33" s="155" t="s">
        <v>174</v>
      </c>
      <c r="J33" s="33"/>
      <c r="K33" s="32"/>
      <c r="L33" s="32"/>
      <c r="M33" s="176"/>
      <c r="N33" s="180"/>
      <c r="O33" s="181"/>
      <c r="P33" s="20"/>
      <c r="Q33" s="70"/>
      <c r="R33" s="70"/>
    </row>
    <row x14ac:dyDescent="0.25" r="34" customHeight="1" ht="20.25">
      <c r="A34" s="155" t="s">
        <v>175</v>
      </c>
      <c r="B34" s="92">
        <v>0</v>
      </c>
      <c r="C34" s="92"/>
      <c r="D34" s="92">
        <v>1</v>
      </c>
      <c r="E34" s="182"/>
      <c r="F34" s="20"/>
      <c r="G34" s="170">
        <v>0</v>
      </c>
      <c r="H34" s="82"/>
      <c r="I34" s="165" t="s">
        <v>176</v>
      </c>
      <c r="J34" s="183"/>
      <c r="K34" s="184"/>
      <c r="L34" s="184"/>
      <c r="M34" s="181"/>
      <c r="N34" s="20"/>
      <c r="O34" s="20"/>
      <c r="P34" s="20"/>
      <c r="Q34" s="70"/>
      <c r="R34" s="70"/>
    </row>
    <row x14ac:dyDescent="0.25" r="35" customHeight="1" ht="20.25">
      <c r="A35" s="155" t="s">
        <v>177</v>
      </c>
      <c r="B35" s="92">
        <v>0</v>
      </c>
      <c r="C35" s="92"/>
      <c r="D35" s="92">
        <v>1</v>
      </c>
      <c r="E35" s="182"/>
      <c r="F35" s="20"/>
      <c r="G35" s="170">
        <v>0</v>
      </c>
      <c r="H35" s="82"/>
      <c r="I35" s="6"/>
      <c r="J35" s="70"/>
      <c r="K35" s="20"/>
      <c r="L35" s="20"/>
      <c r="M35" s="20"/>
      <c r="N35" s="20"/>
      <c r="O35" s="20"/>
      <c r="P35" s="20"/>
      <c r="Q35" s="70"/>
      <c r="R35" s="70"/>
    </row>
    <row x14ac:dyDescent="0.25" r="36" customHeight="1" ht="18.75">
      <c r="A36" s="155" t="s">
        <v>178</v>
      </c>
      <c r="B36" s="92">
        <v>0</v>
      </c>
      <c r="C36" s="92"/>
      <c r="D36" s="92">
        <v>1</v>
      </c>
      <c r="E36" s="182"/>
      <c r="F36" s="20"/>
      <c r="G36" s="170">
        <v>0</v>
      </c>
      <c r="H36" s="82"/>
      <c r="I36" s="157" t="s">
        <v>179</v>
      </c>
      <c r="J36" s="171"/>
      <c r="K36" s="160"/>
      <c r="L36" s="160"/>
      <c r="M36" s="173"/>
      <c r="N36" s="20"/>
      <c r="O36" s="20"/>
      <c r="P36" s="20"/>
      <c r="Q36" s="70"/>
      <c r="R36" s="70"/>
    </row>
    <row x14ac:dyDescent="0.25" r="37" customHeight="1" ht="18.75">
      <c r="A37" s="155" t="s">
        <v>180</v>
      </c>
      <c r="B37" s="92">
        <v>0</v>
      </c>
      <c r="C37" s="92"/>
      <c r="D37" s="92">
        <v>1</v>
      </c>
      <c r="E37" s="182"/>
      <c r="F37" s="20"/>
      <c r="G37" s="170">
        <v>0</v>
      </c>
      <c r="H37" s="82"/>
      <c r="I37" s="155"/>
      <c r="J37" s="33"/>
      <c r="K37" s="32"/>
      <c r="L37" s="32"/>
      <c r="M37" s="174"/>
      <c r="N37" s="20"/>
      <c r="O37" s="20"/>
      <c r="P37" s="20"/>
      <c r="Q37" s="70"/>
      <c r="R37" s="70"/>
    </row>
    <row x14ac:dyDescent="0.25" r="38" customHeight="1" ht="18.75">
      <c r="A38" s="185" t="s">
        <v>181</v>
      </c>
      <c r="B38" s="92">
        <v>0</v>
      </c>
      <c r="C38" s="186"/>
      <c r="D38" s="92">
        <v>1</v>
      </c>
      <c r="E38" s="182"/>
      <c r="F38" s="20"/>
      <c r="G38" s="170">
        <v>0</v>
      </c>
      <c r="H38" s="82"/>
      <c r="I38" s="165" t="s">
        <v>182</v>
      </c>
      <c r="J38" s="183"/>
      <c r="K38" s="184"/>
      <c r="L38" s="184"/>
      <c r="M38" s="181"/>
      <c r="N38" s="20"/>
      <c r="O38" s="20"/>
      <c r="P38" s="20"/>
      <c r="Q38" s="70"/>
      <c r="R38" s="70"/>
    </row>
    <row x14ac:dyDescent="0.25" r="39" customHeight="1" ht="18.75">
      <c r="A39" s="155" t="s">
        <v>183</v>
      </c>
      <c r="B39" s="92">
        <v>0</v>
      </c>
      <c r="C39" s="92"/>
      <c r="D39" s="92">
        <v>1</v>
      </c>
      <c r="E39" s="182"/>
      <c r="F39" s="20"/>
      <c r="G39" s="170">
        <v>0</v>
      </c>
      <c r="H39" s="82"/>
      <c r="I39" s="6"/>
      <c r="J39" s="70"/>
      <c r="K39" s="20"/>
      <c r="L39" s="20"/>
      <c r="M39" s="20"/>
      <c r="N39" s="20"/>
      <c r="O39" s="20"/>
      <c r="P39" s="20"/>
      <c r="Q39" s="70"/>
      <c r="R39" s="70"/>
    </row>
    <row x14ac:dyDescent="0.25" r="40" customHeight="1" ht="18.75">
      <c r="A40" s="185" t="s">
        <v>184</v>
      </c>
      <c r="B40" s="92">
        <v>0</v>
      </c>
      <c r="C40" s="92"/>
      <c r="D40" s="92">
        <v>1</v>
      </c>
      <c r="E40" s="182"/>
      <c r="F40" s="20"/>
      <c r="G40" s="170">
        <v>0</v>
      </c>
      <c r="H40" s="82"/>
      <c r="I40" s="157" t="s">
        <v>149</v>
      </c>
      <c r="J40" s="171"/>
      <c r="K40" s="160"/>
      <c r="L40" s="160"/>
      <c r="M40" s="160"/>
      <c r="N40" s="160"/>
      <c r="O40" s="173"/>
      <c r="P40" s="20"/>
      <c r="Q40" s="70"/>
      <c r="R40" s="70"/>
    </row>
    <row x14ac:dyDescent="0.25" r="41" customHeight="1" ht="18.75">
      <c r="A41" s="165" t="s">
        <v>185</v>
      </c>
      <c r="B41" s="92">
        <v>0</v>
      </c>
      <c r="C41" s="167"/>
      <c r="D41" s="92">
        <v>1</v>
      </c>
      <c r="E41" s="182"/>
      <c r="F41" s="20"/>
      <c r="G41" s="170">
        <v>0</v>
      </c>
      <c r="H41" s="82"/>
      <c r="I41" s="165" t="s">
        <v>186</v>
      </c>
      <c r="J41" s="183"/>
      <c r="K41" s="184"/>
      <c r="L41" s="184"/>
      <c r="M41" s="184"/>
      <c r="N41" s="184"/>
      <c r="O41" s="181"/>
      <c r="P41" s="20"/>
      <c r="Q41" s="70"/>
      <c r="R41" s="70"/>
    </row>
    <row x14ac:dyDescent="0.25" r="42" customHeight="1" ht="18.75">
      <c r="A42" s="70"/>
      <c r="B42" s="20"/>
      <c r="C42" s="71">
        <f>SUM(C10:C41)</f>
      </c>
      <c r="D42" s="20"/>
      <c r="E42" s="182"/>
      <c r="F42" s="20"/>
      <c r="G42" s="20"/>
      <c r="H42" s="82"/>
      <c r="I42" s="6"/>
      <c r="J42" s="70"/>
      <c r="K42" s="20"/>
      <c r="L42" s="20"/>
      <c r="M42" s="20"/>
      <c r="N42" s="20"/>
      <c r="O42" s="20"/>
      <c r="P42" s="20"/>
      <c r="Q42" s="70"/>
      <c r="R42" s="70"/>
    </row>
    <row x14ac:dyDescent="0.25" r="43" customHeight="1" ht="18.75">
      <c r="A43" s="70"/>
      <c r="B43" s="20"/>
      <c r="C43" s="20"/>
      <c r="D43" s="20"/>
      <c r="E43" s="182"/>
      <c r="F43" s="20"/>
      <c r="G43" s="20"/>
      <c r="H43" s="82"/>
      <c r="I43" s="6"/>
      <c r="J43" s="70"/>
      <c r="K43" s="20"/>
      <c r="L43" s="20"/>
      <c r="M43" s="20"/>
      <c r="N43" s="20"/>
      <c r="O43" s="20"/>
      <c r="P43" s="20"/>
      <c r="Q43" s="70"/>
      <c r="R43" s="70"/>
    </row>
    <row x14ac:dyDescent="0.25" r="44" customHeight="1" ht="18.75">
      <c r="A44" s="70"/>
      <c r="B44" s="20"/>
      <c r="C44" s="20"/>
      <c r="D44" s="20"/>
      <c r="E44" s="182"/>
      <c r="F44" s="20"/>
      <c r="G44" s="20"/>
      <c r="H44" s="82"/>
      <c r="I44" s="6"/>
      <c r="J44" s="70"/>
      <c r="K44" s="20"/>
      <c r="L44" s="20"/>
      <c r="M44" s="20"/>
      <c r="N44" s="20"/>
      <c r="O44" s="20"/>
      <c r="P44" s="20"/>
      <c r="Q44" s="70"/>
      <c r="R44" s="70"/>
    </row>
    <row x14ac:dyDescent="0.25" r="45" customHeight="1" ht="18.75">
      <c r="A45" s="70"/>
      <c r="B45" s="20"/>
      <c r="C45" s="20"/>
      <c r="D45" s="20"/>
      <c r="E45" s="182"/>
      <c r="F45" s="20"/>
      <c r="G45" s="20"/>
      <c r="H45" s="82"/>
      <c r="I45" s="6"/>
      <c r="J45" s="70"/>
      <c r="K45" s="20"/>
      <c r="L45" s="20"/>
      <c r="M45" s="20"/>
      <c r="N45" s="20"/>
      <c r="O45" s="20"/>
      <c r="P45" s="20"/>
      <c r="Q45" s="70"/>
      <c r="R45" s="70"/>
    </row>
    <row x14ac:dyDescent="0.25" r="46" customHeight="1" ht="18.75">
      <c r="A46" s="13" t="s">
        <v>187</v>
      </c>
      <c r="B46" s="20"/>
      <c r="C46" s="20"/>
      <c r="D46" s="27" t="s">
        <v>188</v>
      </c>
      <c r="E46" s="182"/>
      <c r="F46" s="20"/>
      <c r="G46" s="20"/>
      <c r="H46" s="82"/>
      <c r="I46" s="6"/>
      <c r="J46" s="70"/>
      <c r="K46" s="20"/>
      <c r="L46" s="20"/>
      <c r="M46" s="20"/>
      <c r="N46" s="20"/>
      <c r="O46" s="20"/>
      <c r="P46" s="20"/>
      <c r="Q46" s="70"/>
      <c r="R46" s="70"/>
    </row>
    <row x14ac:dyDescent="0.25" r="47" customHeight="1" ht="18.75">
      <c r="A47" s="70"/>
      <c r="B47" s="20"/>
      <c r="C47" s="20"/>
      <c r="D47" s="27" t="s">
        <v>189</v>
      </c>
      <c r="E47" s="187" t="s">
        <v>190</v>
      </c>
      <c r="F47" s="20"/>
      <c r="G47" s="20"/>
      <c r="H47" s="20">
        <f>SUM(C10:C41)</f>
      </c>
      <c r="I47" s="188" t="s">
        <v>191</v>
      </c>
      <c r="J47" s="70"/>
      <c r="K47" s="20"/>
      <c r="L47" s="20"/>
      <c r="M47" s="20"/>
      <c r="N47" s="20"/>
      <c r="O47" s="20"/>
      <c r="P47" s="20"/>
      <c r="Q47" s="70"/>
      <c r="R47" s="70"/>
    </row>
    <row x14ac:dyDescent="0.25" r="48" customHeight="1" ht="18.75">
      <c r="A48" s="6" t="s">
        <v>192</v>
      </c>
      <c r="B48" s="27" t="s">
        <v>193</v>
      </c>
      <c r="C48" s="20"/>
      <c r="D48" s="27" t="s">
        <v>194</v>
      </c>
      <c r="E48" s="187" t="s">
        <v>195</v>
      </c>
      <c r="F48" s="20"/>
      <c r="G48" s="20"/>
      <c r="H48" s="189"/>
      <c r="I48" s="190" t="s">
        <v>196</v>
      </c>
      <c r="J48" s="70"/>
      <c r="K48" s="20"/>
      <c r="L48" s="191"/>
      <c r="M48" s="20"/>
      <c r="N48" s="20"/>
      <c r="O48" s="20"/>
      <c r="P48" s="20"/>
      <c r="Q48" s="70"/>
      <c r="R48" s="70"/>
    </row>
    <row x14ac:dyDescent="0.25" r="49" customHeight="1" ht="18.75">
      <c r="A49" s="70"/>
      <c r="B49" s="20"/>
      <c r="C49" s="20"/>
      <c r="D49" s="20"/>
      <c r="E49" s="182"/>
      <c r="F49" s="20"/>
      <c r="G49" s="20"/>
      <c r="H49" s="192">
        <f>SUM(G10:G48)</f>
      </c>
      <c r="I49" s="193" t="s">
        <v>197</v>
      </c>
      <c r="J49" s="70"/>
      <c r="K49" s="20"/>
      <c r="L49" s="20"/>
      <c r="M49" s="20"/>
      <c r="N49" s="20"/>
      <c r="O49" s="20"/>
      <c r="P49" s="20"/>
      <c r="Q49" s="70"/>
      <c r="R49" s="70"/>
    </row>
  </sheetData>
  <mergeCells count="19">
    <mergeCell ref="A1:D1"/>
    <mergeCell ref="E1:F1"/>
    <mergeCell ref="H1:Q1"/>
    <mergeCell ref="C3:D3"/>
    <mergeCell ref="K3:M3"/>
    <mergeCell ref="N3:P3"/>
    <mergeCell ref="H7:H8"/>
    <mergeCell ref="J7:J8"/>
    <mergeCell ref="K7:K8"/>
    <mergeCell ref="L7:L8"/>
    <mergeCell ref="M7:M8"/>
    <mergeCell ref="N7:N8"/>
    <mergeCell ref="O7:O8"/>
    <mergeCell ref="P7:P8"/>
    <mergeCell ref="H11:L11"/>
    <mergeCell ref="N11:P11"/>
    <mergeCell ref="H12:L12"/>
    <mergeCell ref="N12:P12"/>
    <mergeCell ref="H13:P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30"/>
  <sheetViews>
    <sheetView workbookViewId="0" tabSelected="1"/>
  </sheetViews>
  <sheetFormatPr defaultRowHeight="15" x14ac:dyDescent="0.25"/>
  <cols>
    <col min="1" max="1" style="85" width="13.576428571428572" customWidth="1" bestFit="1"/>
    <col min="2" max="2" style="86" width="6.433571428571429" customWidth="1" bestFit="1"/>
    <col min="3" max="3" style="85" width="29.14785714285714" customWidth="1" bestFit="1"/>
    <col min="4" max="4" style="68" width="13.576428571428572" customWidth="1" bestFit="1"/>
    <col min="5" max="5" style="86" width="13.576428571428572" customWidth="1" bestFit="1"/>
    <col min="6" max="6" style="86" width="13.576428571428572" customWidth="1" bestFit="1"/>
    <col min="7" max="7" style="86" width="9.719285714285713" customWidth="1" bestFit="1"/>
    <col min="8" max="8" style="87" width="9.719285714285713" customWidth="1" bestFit="1"/>
    <col min="9" max="9" style="85" width="14.43357142857143" customWidth="1" bestFit="1"/>
    <col min="10" max="10" style="86" width="9.005" customWidth="1" bestFit="1"/>
    <col min="11" max="11" style="86" width="15.719285714285713" customWidth="1" bestFit="1"/>
    <col min="12" max="12" style="86" width="6.862142857142857" customWidth="1" bestFit="1"/>
    <col min="13" max="13" style="86" width="12.43357142857143" customWidth="1" bestFit="1"/>
    <col min="14" max="14" style="86" width="13.576428571428572" customWidth="1" bestFit="1"/>
    <col min="15" max="15" style="86" width="6.005" customWidth="1" bestFit="1"/>
    <col min="16" max="16" style="86" width="5.719285714285714" customWidth="1" bestFit="1"/>
    <col min="17" max="17" style="85" width="16.005" customWidth="1" bestFit="1"/>
    <col min="18" max="18" style="86" width="13.005" customWidth="1" bestFit="1"/>
  </cols>
  <sheetData>
    <row x14ac:dyDescent="0.25" r="1" customHeight="1" ht="18.75">
      <c r="A1" s="70" t="s">
        <v>33</v>
      </c>
      <c r="B1" s="71">
        <v>100</v>
      </c>
      <c r="C1" s="6" t="s">
        <v>34</v>
      </c>
      <c r="D1" s="6" t="s">
        <v>35</v>
      </c>
      <c r="E1" s="71" t="s">
        <v>36</v>
      </c>
      <c r="F1" s="71" t="s">
        <v>37</v>
      </c>
      <c r="G1" s="71" t="s">
        <v>38</v>
      </c>
      <c r="H1" s="7"/>
      <c r="I1" s="6" t="s">
        <v>39</v>
      </c>
      <c r="J1" s="7">
        <v>3.15</v>
      </c>
      <c r="K1" s="71" t="s">
        <v>40</v>
      </c>
      <c r="L1" s="7">
        <f>J4-J3</f>
      </c>
      <c r="M1" s="71" t="s">
        <v>41</v>
      </c>
      <c r="N1" s="71">
        <v>300</v>
      </c>
      <c r="O1" s="20"/>
      <c r="P1" s="20"/>
      <c r="Q1" s="70" t="s">
        <v>42</v>
      </c>
      <c r="R1" s="71">
        <v>500</v>
      </c>
    </row>
    <row x14ac:dyDescent="0.25" r="2" customHeight="1" ht="18.75">
      <c r="A2" s="70" t="s">
        <v>43</v>
      </c>
      <c r="B2" s="71">
        <v>5</v>
      </c>
      <c r="C2" s="6"/>
      <c r="D2" s="6"/>
      <c r="E2" s="71" t="s">
        <v>44</v>
      </c>
      <c r="F2" s="7"/>
      <c r="G2" s="7"/>
      <c r="H2" s="7"/>
      <c r="I2" s="70" t="s">
        <v>45</v>
      </c>
      <c r="J2" s="7">
        <v>0.25</v>
      </c>
      <c r="K2" s="27" t="s">
        <v>46</v>
      </c>
      <c r="L2" s="7">
        <v>1.6</v>
      </c>
      <c r="M2" s="27" t="s">
        <v>47</v>
      </c>
      <c r="N2" s="71">
        <v>500</v>
      </c>
      <c r="O2" s="20"/>
      <c r="P2" s="20"/>
      <c r="Q2" s="70"/>
      <c r="R2" s="71"/>
    </row>
    <row x14ac:dyDescent="0.25" r="3" customHeight="1" ht="18.75">
      <c r="A3" s="70"/>
      <c r="B3" s="71"/>
      <c r="C3" s="6" t="s">
        <v>48</v>
      </c>
      <c r="D3" s="6" t="s">
        <v>49</v>
      </c>
      <c r="E3" s="71">
        <v>320</v>
      </c>
      <c r="F3" s="71">
        <v>17</v>
      </c>
      <c r="G3" s="71">
        <f>(E3*F3)</f>
      </c>
      <c r="H3" s="7"/>
      <c r="I3" s="70" t="s">
        <v>50</v>
      </c>
      <c r="J3" s="7">
        <v>1.05</v>
      </c>
      <c r="K3" s="27" t="s">
        <v>51</v>
      </c>
      <c r="L3" s="7">
        <v>1.8</v>
      </c>
      <c r="M3" s="27" t="s">
        <v>52</v>
      </c>
      <c r="N3" s="7">
        <v>0.007</v>
      </c>
      <c r="O3" s="20"/>
      <c r="P3" s="20"/>
      <c r="Q3" s="70"/>
      <c r="R3" s="71"/>
    </row>
    <row x14ac:dyDescent="0.25" r="4" customHeight="1" ht="18.75">
      <c r="A4" s="70"/>
      <c r="B4" s="71"/>
      <c r="C4" s="6" t="s">
        <v>53</v>
      </c>
      <c r="D4" s="6" t="s">
        <v>54</v>
      </c>
      <c r="E4" s="71">
        <v>2310</v>
      </c>
      <c r="F4" s="7">
        <v>1.35</v>
      </c>
      <c r="G4" s="7">
        <f>(E4*F4)</f>
      </c>
      <c r="H4" s="7"/>
      <c r="I4" s="70" t="s">
        <v>55</v>
      </c>
      <c r="J4" s="7">
        <v>2.3</v>
      </c>
      <c r="K4" s="27" t="s">
        <v>56</v>
      </c>
      <c r="L4" s="71">
        <v>1</v>
      </c>
      <c r="M4" s="27" t="s">
        <v>57</v>
      </c>
      <c r="N4" s="7">
        <v>0.04</v>
      </c>
      <c r="O4" s="20"/>
      <c r="P4" s="20"/>
      <c r="Q4" s="70" t="s">
        <v>58</v>
      </c>
      <c r="R4" s="71">
        <v>700</v>
      </c>
    </row>
    <row x14ac:dyDescent="0.25" r="5" customHeight="1" ht="18.75">
      <c r="A5" s="70"/>
      <c r="B5" s="71"/>
      <c r="C5" s="6" t="s">
        <v>59</v>
      </c>
      <c r="D5" s="6" t="s">
        <v>60</v>
      </c>
      <c r="E5" s="71">
        <v>115</v>
      </c>
      <c r="F5" s="71">
        <v>7</v>
      </c>
      <c r="G5" s="71">
        <f>(E5*F5)</f>
      </c>
      <c r="H5" s="7"/>
      <c r="I5" s="70" t="s">
        <v>61</v>
      </c>
      <c r="J5" s="7">
        <v>2.2</v>
      </c>
      <c r="K5" s="27" t="s">
        <v>62</v>
      </c>
      <c r="L5" s="71">
        <v>3</v>
      </c>
      <c r="M5" s="27" t="s">
        <v>63</v>
      </c>
      <c r="N5" s="71">
        <v>11000</v>
      </c>
      <c r="O5" s="20"/>
      <c r="P5" s="20"/>
      <c r="Q5" s="70" t="s">
        <v>64</v>
      </c>
      <c r="R5" s="71">
        <v>300</v>
      </c>
    </row>
    <row x14ac:dyDescent="0.25" r="6" customHeight="1" ht="18.75">
      <c r="A6" s="70"/>
      <c r="B6" s="72"/>
      <c r="C6" s="73" t="s">
        <v>65</v>
      </c>
      <c r="D6" s="74" t="s">
        <v>66</v>
      </c>
      <c r="E6" s="75">
        <v>6000</v>
      </c>
      <c r="F6" s="76">
        <v>0.25</v>
      </c>
      <c r="G6" s="75">
        <f>(E6*F6)</f>
      </c>
      <c r="H6" s="7"/>
      <c r="I6" s="70" t="s">
        <v>67</v>
      </c>
      <c r="J6" s="71">
        <v>4</v>
      </c>
      <c r="K6" s="27" t="s">
        <v>68</v>
      </c>
      <c r="L6" s="71">
        <v>5</v>
      </c>
      <c r="M6" s="27" t="s">
        <v>69</v>
      </c>
      <c r="N6" s="71">
        <v>5500</v>
      </c>
      <c r="O6" s="20"/>
      <c r="P6" s="20"/>
      <c r="Q6" s="70" t="s">
        <v>70</v>
      </c>
      <c r="R6" s="71">
        <v>250</v>
      </c>
    </row>
    <row x14ac:dyDescent="0.25" r="7" customHeight="1" ht="18.75">
      <c r="A7" s="70"/>
      <c r="B7" s="77"/>
      <c r="C7" s="78" t="s">
        <v>71</v>
      </c>
      <c r="D7" s="79"/>
      <c r="E7" s="7"/>
      <c r="F7" s="7"/>
      <c r="G7" s="7"/>
      <c r="H7" s="7"/>
      <c r="I7" s="70" t="s">
        <v>72</v>
      </c>
      <c r="J7" s="71">
        <v>300</v>
      </c>
      <c r="K7" s="27" t="s">
        <v>73</v>
      </c>
      <c r="L7" s="71">
        <v>1600</v>
      </c>
      <c r="M7" s="20"/>
      <c r="N7" s="20"/>
      <c r="O7" s="20"/>
      <c r="P7" s="20"/>
      <c r="Q7" s="70" t="s">
        <v>74</v>
      </c>
      <c r="R7" s="71">
        <v>500</v>
      </c>
    </row>
    <row x14ac:dyDescent="0.25" r="8" customHeight="1" ht="18.75">
      <c r="A8" s="70"/>
      <c r="B8" s="71"/>
      <c r="C8" s="6" t="s">
        <v>75</v>
      </c>
      <c r="D8" s="6" t="s">
        <v>66</v>
      </c>
      <c r="E8" s="71">
        <v>6500</v>
      </c>
      <c r="F8" s="7">
        <v>0.25</v>
      </c>
      <c r="G8" s="71">
        <f>(E8*F8)</f>
      </c>
      <c r="H8" s="7"/>
      <c r="I8" s="70"/>
      <c r="J8" s="20"/>
      <c r="K8" s="20"/>
      <c r="L8" s="20"/>
      <c r="M8" s="20"/>
      <c r="N8" s="20"/>
      <c r="O8" s="20"/>
      <c r="P8" s="20"/>
      <c r="Q8" s="70" t="s">
        <v>76</v>
      </c>
      <c r="R8" s="71">
        <v>700</v>
      </c>
    </row>
    <row x14ac:dyDescent="0.25" r="9" customHeight="1" ht="18.75">
      <c r="A9" s="70"/>
      <c r="B9" s="71"/>
      <c r="C9" s="6" t="s">
        <v>77</v>
      </c>
      <c r="D9" s="6"/>
      <c r="E9" s="71">
        <v>275</v>
      </c>
      <c r="F9" s="71">
        <v>1</v>
      </c>
      <c r="G9" s="71">
        <f>(E9*F9)</f>
      </c>
      <c r="H9" s="7"/>
      <c r="I9" s="6" t="s">
        <v>78</v>
      </c>
      <c r="J9" s="71">
        <v>1</v>
      </c>
      <c r="K9" s="20"/>
      <c r="L9" s="20"/>
      <c r="M9" s="20"/>
      <c r="N9" s="20"/>
      <c r="O9" s="20"/>
      <c r="P9" s="20"/>
      <c r="Q9" s="70" t="s">
        <v>79</v>
      </c>
      <c r="R9" s="71">
        <v>500</v>
      </c>
    </row>
    <row x14ac:dyDescent="0.25" r="10" customHeight="1" ht="18.75">
      <c r="A10" s="70"/>
      <c r="B10" s="71"/>
      <c r="C10" s="6" t="s">
        <v>80</v>
      </c>
      <c r="D10" s="6"/>
      <c r="E10" s="71">
        <v>300</v>
      </c>
      <c r="F10" s="71">
        <v>1</v>
      </c>
      <c r="G10" s="71">
        <f>(E10*F10)</f>
      </c>
      <c r="H10" s="7"/>
      <c r="I10" s="6" t="s">
        <v>81</v>
      </c>
      <c r="J10" s="71">
        <v>6400</v>
      </c>
      <c r="K10" s="20"/>
      <c r="L10" s="20"/>
      <c r="M10" s="20"/>
      <c r="N10" s="20"/>
      <c r="O10" s="20"/>
      <c r="P10" s="20"/>
      <c r="Q10" s="70" t="s">
        <v>82</v>
      </c>
      <c r="R10" s="71">
        <v>500</v>
      </c>
    </row>
    <row x14ac:dyDescent="0.25" r="11" customHeight="1" ht="18.75">
      <c r="A11" s="70"/>
      <c r="B11" s="71"/>
      <c r="C11" s="6" t="s">
        <v>83</v>
      </c>
      <c r="D11" s="6" t="s">
        <v>66</v>
      </c>
      <c r="E11" s="7"/>
      <c r="F11" s="7"/>
      <c r="G11" s="71">
        <v>2700</v>
      </c>
      <c r="H11" s="7"/>
      <c r="I11" s="6" t="s">
        <v>84</v>
      </c>
      <c r="J11" s="71">
        <v>4600</v>
      </c>
      <c r="K11" s="20"/>
      <c r="L11" s="20"/>
      <c r="M11" s="20"/>
      <c r="N11" s="20"/>
      <c r="O11" s="20"/>
      <c r="P11" s="20"/>
      <c r="Q11" s="70" t="s">
        <v>74</v>
      </c>
      <c r="R11" s="71"/>
    </row>
    <row x14ac:dyDescent="0.25" r="12" customHeight="1" ht="18.75">
      <c r="A12" s="70"/>
      <c r="B12" s="14"/>
      <c r="C12" s="80" t="s">
        <v>85</v>
      </c>
      <c r="D12" s="80"/>
      <c r="E12" s="22">
        <v>1300</v>
      </c>
      <c r="F12" s="22">
        <v>1</v>
      </c>
      <c r="G12" s="22">
        <f>(E12*F12)</f>
      </c>
      <c r="H12" s="81">
        <f>SUM(G3:G11)</f>
      </c>
      <c r="I12" s="6" t="s">
        <v>86</v>
      </c>
      <c r="J12" s="71">
        <v>2650</v>
      </c>
      <c r="K12" s="20"/>
      <c r="L12" s="20"/>
      <c r="M12" s="20"/>
      <c r="N12" s="20"/>
      <c r="O12" s="20"/>
      <c r="P12" s="20"/>
      <c r="Q12" s="70" t="s">
        <v>74</v>
      </c>
      <c r="R12" s="71"/>
    </row>
    <row x14ac:dyDescent="0.25" r="13" customHeight="1" ht="18.75">
      <c r="A13" s="70"/>
      <c r="B13" s="71"/>
      <c r="C13" s="6" t="s">
        <v>87</v>
      </c>
      <c r="D13" s="6" t="s">
        <v>88</v>
      </c>
      <c r="E13" s="82">
        <f>N1+N2+( N3*(E8*1.5))+( N4*E4)</f>
      </c>
      <c r="F13" s="82">
        <f>J6*(J1+J2)*B2+1.5</f>
      </c>
      <c r="G13" s="7">
        <f>(F13*E13)/B1</f>
      </c>
      <c r="H13" s="82"/>
      <c r="I13" s="6" t="s">
        <v>89</v>
      </c>
      <c r="J13" s="71">
        <v>1500</v>
      </c>
      <c r="K13" s="20"/>
      <c r="L13" s="20"/>
      <c r="M13" s="20"/>
      <c r="N13" s="20"/>
      <c r="O13" s="20"/>
      <c r="P13" s="20"/>
      <c r="Q13" s="70" t="s">
        <v>74</v>
      </c>
      <c r="R13" s="71"/>
    </row>
    <row x14ac:dyDescent="0.25" r="14" customHeight="1" ht="18.75">
      <c r="A14" s="70"/>
      <c r="B14" s="71"/>
      <c r="C14" s="6" t="s">
        <v>90</v>
      </c>
      <c r="D14" s="6" t="s">
        <v>88</v>
      </c>
      <c r="E14" s="82">
        <f>((J12+J13)*7)+(J14+J15)*4+(L7/3)+(R4*8)</f>
      </c>
      <c r="F14" s="82"/>
      <c r="G14" s="83">
        <f>E14/B1</f>
      </c>
      <c r="H14" s="84">
        <f>SUM(G3:G14)</f>
      </c>
      <c r="I14" s="6" t="s">
        <v>91</v>
      </c>
      <c r="J14" s="71">
        <v>800</v>
      </c>
      <c r="K14" s="20"/>
      <c r="L14" s="20"/>
      <c r="M14" s="20"/>
      <c r="N14" s="20"/>
      <c r="O14" s="20"/>
      <c r="P14" s="20"/>
      <c r="Q14" s="70" t="s">
        <v>92</v>
      </c>
      <c r="R14" s="71">
        <v>700</v>
      </c>
    </row>
    <row x14ac:dyDescent="0.25" r="15" customHeight="1" ht="18.75">
      <c r="A15" s="70"/>
      <c r="B15" s="71"/>
      <c r="C15" s="6" t="s">
        <v>93</v>
      </c>
      <c r="D15" s="6"/>
      <c r="E15" s="20">
        <v>0</v>
      </c>
      <c r="F15" s="82"/>
      <c r="G15" s="20">
        <v>0</v>
      </c>
      <c r="H15" s="82"/>
      <c r="I15" s="6" t="s">
        <v>94</v>
      </c>
      <c r="J15" s="71">
        <v>700</v>
      </c>
      <c r="K15" s="20"/>
      <c r="L15" s="20"/>
      <c r="M15" s="20"/>
      <c r="N15" s="20"/>
      <c r="O15" s="20"/>
      <c r="P15" s="20"/>
      <c r="Q15" s="70"/>
      <c r="R15" s="20"/>
    </row>
    <row x14ac:dyDescent="0.25" r="16" customHeight="1" ht="18.75">
      <c r="A16" s="70"/>
      <c r="B16" s="71"/>
      <c r="C16" s="6" t="s">
        <v>95</v>
      </c>
      <c r="D16" s="6"/>
      <c r="E16" s="20">
        <f>(SQRT(B1)*4)*(10*E5+R6)+E4+E4+(0.25*N6 )</f>
      </c>
      <c r="F16" s="82"/>
      <c r="G16" s="82">
        <f>E14/B1</f>
      </c>
      <c r="H16" s="82"/>
      <c r="I16" s="6" t="s">
        <v>96</v>
      </c>
      <c r="J16" s="71">
        <v>1000</v>
      </c>
      <c r="K16" s="20"/>
      <c r="L16" s="20"/>
      <c r="M16" s="20"/>
      <c r="N16" s="20"/>
      <c r="O16" s="20"/>
      <c r="P16" s="20"/>
      <c r="Q16" s="70"/>
      <c r="R16" s="20"/>
    </row>
    <row x14ac:dyDescent="0.25" r="17" customHeight="1" ht="18.75">
      <c r="A17" s="70"/>
      <c r="B17" s="71"/>
      <c r="C17" s="6" t="s">
        <v>97</v>
      </c>
      <c r="D17" s="6"/>
      <c r="E17" s="82">
        <f>(SQRT(B1)*3*3.5*R14)+(SQRT(B1)*3*3.5*0.015*9*E4)+(SQRT(B1)*3*3.5*0.015*9*N5)</f>
      </c>
      <c r="F17" s="82"/>
      <c r="G17" s="82">
        <f>E17/B1</f>
      </c>
      <c r="H17" s="82"/>
      <c r="I17" s="6" t="s">
        <v>98</v>
      </c>
      <c r="J17" s="71"/>
      <c r="K17" s="20"/>
      <c r="L17" s="20"/>
      <c r="M17" s="20"/>
      <c r="N17" s="20"/>
      <c r="O17" s="20"/>
      <c r="P17" s="20"/>
      <c r="Q17" s="70"/>
      <c r="R17" s="20"/>
    </row>
    <row x14ac:dyDescent="0.25" r="18" customHeight="1" ht="18.75">
      <c r="A18" s="70"/>
      <c r="B18" s="71"/>
      <c r="C18" s="6" t="s">
        <v>99</v>
      </c>
      <c r="D18" s="6"/>
      <c r="E18" s="82">
        <f>(SQRT(B1)*4*3.25*R6)+((SQRT(B1)*3*3.25)/0.08)*J20+((SQRT(B1)*3*3.25)/0.08)/(80)*E4+((SQRT(B1)*3*3.25)/0.08)/(80)*0.2*N6</f>
      </c>
      <c r="F18" s="82"/>
      <c r="G18" s="82">
        <f>E18/B1</f>
      </c>
      <c r="H18" s="82"/>
      <c r="I18" s="6"/>
      <c r="J18" s="71"/>
      <c r="K18" s="20"/>
      <c r="L18" s="20"/>
      <c r="M18" s="20"/>
      <c r="N18" s="20"/>
      <c r="O18" s="20"/>
      <c r="P18" s="20"/>
      <c r="Q18" s="70"/>
      <c r="R18" s="20"/>
    </row>
    <row x14ac:dyDescent="0.25" r="19" customHeight="1" ht="18.75">
      <c r="A19" s="70"/>
      <c r="B19" s="71"/>
      <c r="C19" s="6" t="s">
        <v>100</v>
      </c>
      <c r="D19" s="6"/>
      <c r="E19" s="20">
        <v>40000</v>
      </c>
      <c r="F19" s="82"/>
      <c r="G19" s="20">
        <f>E19/B1</f>
      </c>
      <c r="H19" s="82"/>
      <c r="I19" s="6" t="s">
        <v>101</v>
      </c>
      <c r="J19" s="71">
        <v>95</v>
      </c>
      <c r="K19" s="20"/>
      <c r="L19" s="20"/>
      <c r="M19" s="20"/>
      <c r="N19" s="20"/>
      <c r="O19" s="20"/>
      <c r="P19" s="20"/>
      <c r="Q19" s="70"/>
      <c r="R19" s="20"/>
    </row>
    <row x14ac:dyDescent="0.25" r="20" customHeight="1" ht="18.75">
      <c r="A20" s="70"/>
      <c r="B20" s="71"/>
      <c r="C20" s="6" t="s">
        <v>102</v>
      </c>
      <c r="D20" s="6"/>
      <c r="E20" s="20">
        <f>((((B1/8)*4)/L6)+( 0.5))*(7*E4+1.3*E8+E6+E3*70)</f>
      </c>
      <c r="F20" s="82"/>
      <c r="G20" s="82">
        <f>E20/B1</f>
      </c>
      <c r="H20" s="82"/>
      <c r="I20" s="6" t="s">
        <v>103</v>
      </c>
      <c r="J20" s="71">
        <v>100</v>
      </c>
      <c r="K20" s="20"/>
      <c r="L20" s="20"/>
      <c r="M20" s="20">
        <f>((B1/8)*6)/L6</f>
      </c>
      <c r="N20" s="20"/>
      <c r="O20" s="20"/>
      <c r="P20" s="20"/>
      <c r="Q20" s="70"/>
      <c r="R20" s="20"/>
    </row>
    <row x14ac:dyDescent="0.25" r="21" customHeight="1" ht="18.75">
      <c r="A21" s="70"/>
      <c r="B21" s="71"/>
      <c r="C21" s="6" t="s">
        <v>104</v>
      </c>
      <c r="D21" s="6"/>
      <c r="E21" s="82"/>
      <c r="F21" s="82"/>
      <c r="G21" s="20">
        <v>250</v>
      </c>
      <c r="H21" s="82"/>
      <c r="I21" s="6" t="s">
        <v>105</v>
      </c>
      <c r="J21" s="71">
        <v>14000</v>
      </c>
      <c r="K21" s="20"/>
      <c r="L21" s="20"/>
      <c r="M21" s="20"/>
      <c r="N21" s="20"/>
      <c r="O21" s="20"/>
      <c r="P21" s="20"/>
      <c r="Q21" s="70"/>
      <c r="R21" s="20"/>
    </row>
    <row x14ac:dyDescent="0.25" r="22" customHeight="1" ht="18.75">
      <c r="A22" s="70"/>
      <c r="B22" s="71"/>
      <c r="C22" s="6" t="s">
        <v>106</v>
      </c>
      <c r="D22" s="6" t="s">
        <v>66</v>
      </c>
      <c r="E22" s="82">
        <f>400000/(L5*L6)</f>
      </c>
      <c r="F22" s="82"/>
      <c r="G22" s="82">
        <f>E22/B1</f>
      </c>
      <c r="H22" s="82"/>
      <c r="I22" s="6" t="s">
        <v>107</v>
      </c>
      <c r="J22" s="71">
        <v>7000</v>
      </c>
      <c r="K22" s="20"/>
      <c r="L22" s="20"/>
      <c r="M22" s="20"/>
      <c r="N22" s="20"/>
      <c r="O22" s="20"/>
      <c r="P22" s="20"/>
      <c r="Q22" s="70"/>
      <c r="R22" s="20"/>
    </row>
    <row x14ac:dyDescent="0.25" r="23" customHeight="1" ht="18.75">
      <c r="A23" s="70"/>
      <c r="B23" s="71"/>
      <c r="C23" s="6" t="s">
        <v>108</v>
      </c>
      <c r="D23" s="6"/>
      <c r="E23" s="82"/>
      <c r="F23" s="82"/>
      <c r="G23" s="20">
        <v>2000</v>
      </c>
      <c r="H23" s="82"/>
      <c r="I23" s="70"/>
      <c r="J23" s="20"/>
      <c r="K23" s="20"/>
      <c r="L23" s="20"/>
      <c r="M23" s="20"/>
      <c r="N23" s="20"/>
      <c r="O23" s="20"/>
      <c r="P23" s="20"/>
      <c r="Q23" s="70"/>
      <c r="R23" s="20"/>
    </row>
    <row x14ac:dyDescent="0.25" r="24" customHeight="1" ht="18.75">
      <c r="A24" s="70"/>
      <c r="B24" s="20"/>
      <c r="C24" s="70"/>
      <c r="D24" s="6"/>
      <c r="E24" s="82"/>
      <c r="F24" s="82"/>
      <c r="G24" s="82">
        <f>SUM(G3:G23)</f>
      </c>
      <c r="H24" s="82"/>
      <c r="I24" s="70"/>
      <c r="J24" s="20"/>
      <c r="K24" s="20"/>
      <c r="L24" s="20"/>
      <c r="M24" s="20"/>
      <c r="N24" s="20"/>
      <c r="O24" s="20"/>
      <c r="P24" s="20"/>
      <c r="Q24" s="70"/>
      <c r="R24" s="20"/>
    </row>
    <row x14ac:dyDescent="0.25" r="25" customHeight="1" ht="18.75">
      <c r="A25" s="70"/>
      <c r="B25" s="20"/>
      <c r="C25" s="6" t="s">
        <v>109</v>
      </c>
      <c r="D25" s="6"/>
      <c r="E25" s="82"/>
      <c r="F25" s="82"/>
      <c r="G25" s="82">
        <f>G24*1.3</f>
      </c>
      <c r="H25" s="82"/>
      <c r="I25" s="70"/>
      <c r="J25" s="20"/>
      <c r="K25" s="20"/>
      <c r="L25" s="20"/>
      <c r="M25" s="20"/>
      <c r="N25" s="20"/>
      <c r="O25" s="20"/>
      <c r="P25" s="20"/>
      <c r="Q25" s="70"/>
      <c r="R25" s="20"/>
    </row>
    <row x14ac:dyDescent="0.25" r="26" customHeight="1" ht="18.75">
      <c r="A26" s="70"/>
      <c r="B26" s="20"/>
      <c r="C26" s="6" t="s">
        <v>110</v>
      </c>
      <c r="D26" s="6"/>
      <c r="E26" s="82"/>
      <c r="F26" s="82"/>
      <c r="G26" s="82">
        <f>G25*1.06</f>
      </c>
      <c r="H26" s="82"/>
      <c r="I26" s="70"/>
      <c r="J26" s="20"/>
      <c r="K26" s="20"/>
      <c r="L26" s="20"/>
      <c r="M26" s="20"/>
      <c r="N26" s="20"/>
      <c r="O26" s="20"/>
      <c r="P26" s="20"/>
      <c r="Q26" s="70"/>
      <c r="R26" s="20"/>
    </row>
    <row x14ac:dyDescent="0.25" r="27" customHeight="1" ht="18.75">
      <c r="A27" s="70"/>
      <c r="B27" s="20"/>
      <c r="C27" s="6" t="s">
        <v>111</v>
      </c>
      <c r="D27" s="6"/>
      <c r="E27" s="82"/>
      <c r="F27" s="82"/>
      <c r="G27" s="82">
        <f>G26*1.06</f>
      </c>
      <c r="H27" s="82"/>
      <c r="I27" s="70" t="s">
        <v>112</v>
      </c>
      <c r="J27" s="71" t="s">
        <v>113</v>
      </c>
      <c r="K27" s="71" t="s">
        <v>114</v>
      </c>
      <c r="L27" s="71" t="s">
        <v>115</v>
      </c>
      <c r="M27" s="71">
        <v>1</v>
      </c>
      <c r="N27" s="71">
        <v>2</v>
      </c>
      <c r="O27" s="71">
        <v>3</v>
      </c>
      <c r="P27" s="71">
        <v>4</v>
      </c>
      <c r="Q27" s="70"/>
      <c r="R27" s="20"/>
    </row>
    <row x14ac:dyDescent="0.25" r="28" customHeight="1" ht="18.75">
      <c r="A28" s="70"/>
      <c r="B28" s="20"/>
      <c r="C28" s="70"/>
      <c r="D28" s="6"/>
      <c r="E28" s="82"/>
      <c r="F28" s="82"/>
      <c r="G28" s="82"/>
      <c r="H28" s="82"/>
      <c r="I28" s="70" t="s">
        <v>43</v>
      </c>
      <c r="J28" s="71">
        <v>7</v>
      </c>
      <c r="K28" s="71">
        <v>6</v>
      </c>
      <c r="L28" s="71">
        <v>5</v>
      </c>
      <c r="M28" s="71">
        <v>4</v>
      </c>
      <c r="N28" s="71">
        <v>3</v>
      </c>
      <c r="O28" s="71">
        <v>2</v>
      </c>
      <c r="P28" s="71">
        <v>1</v>
      </c>
      <c r="Q28" s="70"/>
      <c r="R28" s="20"/>
    </row>
    <row x14ac:dyDescent="0.25" r="29" customHeight="1" ht="18.75">
      <c r="A29" s="70"/>
      <c r="B29" s="20"/>
      <c r="C29" s="70"/>
      <c r="D29" s="6"/>
      <c r="E29" s="82"/>
      <c r="F29" s="82"/>
      <c r="G29" s="82"/>
      <c r="H29" s="82"/>
      <c r="I29" s="70"/>
      <c r="J29" s="20"/>
      <c r="K29" s="20"/>
      <c r="L29" s="20"/>
      <c r="M29" s="20"/>
      <c r="N29" s="20"/>
      <c r="O29" s="20"/>
      <c r="P29" s="20"/>
      <c r="Q29" s="70"/>
      <c r="R29" s="20"/>
    </row>
    <row x14ac:dyDescent="0.25" r="30" customHeight="1" ht="18.75">
      <c r="A30" s="70"/>
      <c r="B30" s="20"/>
      <c r="C30" s="70"/>
      <c r="D30" s="6"/>
      <c r="E30" s="82"/>
      <c r="F30" s="82"/>
      <c r="G30" s="82"/>
      <c r="H30" s="82"/>
      <c r="I30" s="70"/>
      <c r="J30" s="20"/>
      <c r="K30" s="20"/>
      <c r="L30" s="20"/>
      <c r="M30" s="20"/>
      <c r="N30" s="20"/>
      <c r="O30" s="20"/>
      <c r="P30" s="20"/>
      <c r="Q30" s="70"/>
      <c r="R30" s="20"/>
    </row>
  </sheetData>
  <mergeCells count="6">
    <mergeCell ref="E2:G2"/>
    <mergeCell ref="B6:B7"/>
    <mergeCell ref="D6:D7"/>
    <mergeCell ref="E6:E7"/>
    <mergeCell ref="F6:F7"/>
    <mergeCell ref="G6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1"/>
  <sheetViews>
    <sheetView workbookViewId="0"/>
  </sheetViews>
  <sheetFormatPr defaultRowHeight="15" x14ac:dyDescent="0.25"/>
  <cols>
    <col min="1" max="1" style="65" width="12.719285714285713" customWidth="1" bestFit="1"/>
    <col min="2" max="2" style="66" width="9.862142857142858" customWidth="1" bestFit="1"/>
    <col min="3" max="3" style="66" width="13.576428571428572" customWidth="1" bestFit="1"/>
    <col min="4" max="4" style="65" width="5.147857142857143" customWidth="1" bestFit="1"/>
    <col min="5" max="5" style="66" width="10.147857142857141" customWidth="1" bestFit="1"/>
    <col min="6" max="6" style="65" width="10.290714285714287" customWidth="1" bestFit="1"/>
    <col min="7" max="7" style="65" width="9.290714285714287" customWidth="1" bestFit="1"/>
    <col min="8" max="8" style="67" width="14.290714285714287" customWidth="1" bestFit="1"/>
    <col min="9" max="9" style="68" width="9.719285714285713" customWidth="1" bestFit="1"/>
    <col min="10" max="10" style="69" width="9.005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4"/>
      <c r="G1" s="4"/>
      <c r="H1" s="5" t="s">
        <v>1</v>
      </c>
      <c r="I1" s="6"/>
      <c r="J1" s="7"/>
    </row>
    <row x14ac:dyDescent="0.25" r="2" customHeight="1" ht="18.75">
      <c r="A2" s="8" t="s">
        <v>2</v>
      </c>
      <c r="B2" s="9"/>
      <c r="C2" s="9"/>
      <c r="D2" s="10"/>
      <c r="E2" s="9"/>
      <c r="F2" s="10"/>
      <c r="G2" s="10"/>
      <c r="H2" s="9"/>
      <c r="I2" s="11" t="s">
        <v>3</v>
      </c>
      <c r="J2" s="12"/>
    </row>
    <row x14ac:dyDescent="0.25" r="3" customHeight="1" ht="18.75">
      <c r="A3" s="13"/>
      <c r="B3" s="14" t="s">
        <v>4</v>
      </c>
      <c r="C3" s="14"/>
      <c r="D3" s="13"/>
      <c r="E3" s="15" t="s">
        <v>5</v>
      </c>
      <c r="F3" s="16"/>
      <c r="G3" s="16"/>
      <c r="H3" s="17">
        <f>ورقة1!E17</f>
        <v>25569.083333333332</v>
      </c>
      <c r="I3" s="18" t="s">
        <v>6</v>
      </c>
      <c r="J3" s="19">
        <f>ورقة1!N4</f>
      </c>
    </row>
    <row x14ac:dyDescent="0.25" r="4" customHeight="1" ht="18.75">
      <c r="A4" s="13"/>
      <c r="B4" s="20"/>
      <c r="C4" s="20"/>
      <c r="D4" s="13"/>
      <c r="E4" s="15" t="s">
        <v>7</v>
      </c>
      <c r="F4" s="16"/>
      <c r="G4" s="16"/>
      <c r="H4" s="17">
        <f>H3</f>
        <v>25569.083333333332</v>
      </c>
      <c r="I4" s="21" t="s">
        <v>8</v>
      </c>
      <c r="J4" s="19">
        <f>ورقة1!N5</f>
      </c>
    </row>
    <row x14ac:dyDescent="0.25" r="5" customHeight="1" ht="18.75">
      <c r="A5" s="16" t="s">
        <v>9</v>
      </c>
      <c r="B5" s="15"/>
      <c r="C5" s="22">
        <v>10</v>
      </c>
      <c r="D5" s="13"/>
      <c r="E5" s="15" t="s">
        <v>10</v>
      </c>
      <c r="F5" s="16"/>
      <c r="G5" s="16"/>
      <c r="H5" s="17">
        <f>H4</f>
        <v>25569.083333333332</v>
      </c>
      <c r="I5" s="23" t="s">
        <v>11</v>
      </c>
      <c r="J5" s="24">
        <f>ورقة1!N6</f>
      </c>
    </row>
    <row x14ac:dyDescent="0.25" r="6" customHeight="1" ht="18.75">
      <c r="A6" s="16" t="s">
        <v>12</v>
      </c>
      <c r="B6" s="15"/>
      <c r="C6" s="25" t="s">
        <v>13</v>
      </c>
      <c r="D6" s="13"/>
      <c r="E6" s="20"/>
      <c r="F6" s="13"/>
      <c r="G6" s="13"/>
      <c r="H6" s="20"/>
      <c r="I6" s="21" t="s">
        <v>14</v>
      </c>
      <c r="J6" s="19">
        <f>ورقة1!N7</f>
      </c>
    </row>
    <row x14ac:dyDescent="0.25" r="7" customHeight="1" ht="18.75">
      <c r="A7" s="16" t="s">
        <v>15</v>
      </c>
      <c r="B7" s="15"/>
      <c r="C7" s="26">
        <v>220</v>
      </c>
      <c r="D7" s="13"/>
      <c r="E7" s="20"/>
      <c r="F7" s="13"/>
      <c r="G7" s="13"/>
      <c r="H7" s="20"/>
      <c r="I7" s="23" t="s">
        <v>16</v>
      </c>
      <c r="J7" s="24">
        <f>ورقة1!N9</f>
      </c>
    </row>
    <row x14ac:dyDescent="0.25" r="8" customHeight="1" ht="18.75">
      <c r="A8" s="16" t="s">
        <v>17</v>
      </c>
      <c r="B8" s="15"/>
      <c r="C8" s="22">
        <f>ورقة1!H47</f>
      </c>
      <c r="D8" s="13"/>
      <c r="E8" s="27" t="s">
        <v>18</v>
      </c>
      <c r="F8" s="13"/>
      <c r="G8" s="13"/>
      <c r="H8" s="20"/>
      <c r="I8" s="21" t="s">
        <v>19</v>
      </c>
      <c r="J8" s="19">
        <f>ورقة1!N10</f>
      </c>
    </row>
    <row x14ac:dyDescent="0.25" r="9" customHeight="1" ht="18.75">
      <c r="A9" s="13"/>
      <c r="B9" s="20"/>
      <c r="C9" s="20"/>
      <c r="D9" s="13"/>
      <c r="E9" s="28" t="s">
        <v>20</v>
      </c>
      <c r="F9" s="29"/>
      <c r="G9" s="29"/>
      <c r="H9" s="20"/>
      <c r="I9" s="23" t="s">
        <v>21</v>
      </c>
      <c r="J9" s="30">
        <f>ورقة1!G17</f>
      </c>
    </row>
    <row x14ac:dyDescent="0.25" r="10" customHeight="1" ht="18.75">
      <c r="A10" s="31" t="s">
        <v>22</v>
      </c>
      <c r="B10" s="28"/>
      <c r="C10" s="28" t="s">
        <v>23</v>
      </c>
      <c r="D10" s="29"/>
      <c r="E10" s="32"/>
      <c r="F10" s="33"/>
      <c r="G10" s="33"/>
      <c r="H10" s="34" t="s">
        <v>24</v>
      </c>
      <c r="I10" s="35" t="s">
        <v>25</v>
      </c>
      <c r="J10" s="36">
        <f>ورقة1!H49</f>
      </c>
    </row>
    <row x14ac:dyDescent="0.25" r="11" customHeight="1" ht="18.75">
      <c r="A11" s="29"/>
      <c r="B11" s="28"/>
      <c r="C11" s="28">
        <v>25000</v>
      </c>
      <c r="D11" s="29"/>
      <c r="E11" s="37">
        <v>0</v>
      </c>
      <c r="F11" s="38"/>
      <c r="G11" s="38"/>
      <c r="H11" s="39">
        <f>C11+D11+E11</f>
      </c>
      <c r="I11" s="40"/>
      <c r="J11" s="41"/>
    </row>
    <row x14ac:dyDescent="0.25" r="12" customHeight="1" ht="18.75">
      <c r="A12" s="16" t="s">
        <v>26</v>
      </c>
      <c r="B12" s="22">
        <f>C5</f>
      </c>
      <c r="C12" s="20"/>
      <c r="D12" s="13"/>
      <c r="E12" s="27" t="s">
        <v>27</v>
      </c>
      <c r="F12" s="13"/>
      <c r="G12" s="13"/>
      <c r="H12" s="20"/>
      <c r="I12" s="6"/>
      <c r="J12" s="7"/>
    </row>
    <row x14ac:dyDescent="0.25" r="13" customHeight="1" ht="18.75">
      <c r="A13" s="16" t="s">
        <v>28</v>
      </c>
      <c r="B13" s="22">
        <f>ورقة1!F3-C5</f>
      </c>
      <c r="C13" s="20"/>
      <c r="D13" s="13"/>
      <c r="E13" s="15" t="s">
        <v>29</v>
      </c>
      <c r="F13" s="16"/>
      <c r="G13" s="16"/>
      <c r="H13" s="42" t="s">
        <v>30</v>
      </c>
      <c r="I13" s="6"/>
      <c r="J13" s="7"/>
    </row>
    <row x14ac:dyDescent="0.25" r="14" customHeight="1" ht="18.75">
      <c r="A14" s="13"/>
      <c r="B14" s="20"/>
      <c r="C14" s="20"/>
      <c r="D14" s="13"/>
      <c r="E14" s="20"/>
      <c r="F14" s="13"/>
      <c r="G14" s="13"/>
      <c r="H14" s="20"/>
      <c r="I14" s="6"/>
      <c r="J14" s="7"/>
    </row>
    <row x14ac:dyDescent="0.25" r="15" customHeight="1" ht="18.75">
      <c r="A15" s="13"/>
      <c r="B15" s="20"/>
      <c r="C15" s="20"/>
      <c r="D15" s="13"/>
      <c r="E15" s="20"/>
      <c r="F15" s="13"/>
      <c r="G15" s="13"/>
      <c r="H15" s="20"/>
      <c r="I15" s="6"/>
      <c r="J15" s="7"/>
    </row>
    <row x14ac:dyDescent="0.25" r="16" customHeight="1" ht="18.75">
      <c r="A16" s="13"/>
      <c r="B16" s="20"/>
      <c r="C16" s="20"/>
      <c r="D16" s="13"/>
      <c r="E16" s="20"/>
      <c r="F16" s="13"/>
      <c r="G16" s="13"/>
      <c r="H16" s="20"/>
      <c r="I16" s="6"/>
      <c r="J16" s="7"/>
    </row>
    <row x14ac:dyDescent="0.25" r="17" customHeight="1" ht="18.75">
      <c r="A17" s="13"/>
      <c r="B17" s="20"/>
      <c r="C17" s="20"/>
      <c r="D17" s="13"/>
      <c r="E17" s="20"/>
      <c r="F17" s="13"/>
      <c r="G17" s="13"/>
      <c r="H17" s="20"/>
      <c r="I17" s="6"/>
      <c r="J17" s="7"/>
    </row>
    <row x14ac:dyDescent="0.25" r="18" customHeight="1" ht="18.75">
      <c r="A18" s="13"/>
      <c r="B18" s="20"/>
      <c r="C18" s="20"/>
      <c r="D18" s="13"/>
      <c r="E18" s="20"/>
      <c r="F18" s="13"/>
      <c r="G18" s="13"/>
      <c r="H18" s="20"/>
      <c r="I18" s="6"/>
      <c r="J18" s="7"/>
    </row>
    <row x14ac:dyDescent="0.25" r="19" customHeight="1" ht="18.75">
      <c r="A19" s="13"/>
      <c r="B19" s="20"/>
      <c r="C19" s="20"/>
      <c r="D19" s="13"/>
      <c r="E19" s="20"/>
      <c r="F19" s="13"/>
      <c r="G19" s="13"/>
      <c r="H19" s="20"/>
      <c r="I19" s="6"/>
      <c r="J19" s="7"/>
    </row>
    <row x14ac:dyDescent="0.25" r="20" customHeight="1" ht="18.75">
      <c r="A20" s="13"/>
      <c r="B20" s="20"/>
      <c r="C20" s="20"/>
      <c r="D20" s="13"/>
      <c r="E20" s="20"/>
      <c r="F20" s="13"/>
      <c r="G20" s="13"/>
      <c r="H20" s="20"/>
      <c r="I20" s="6"/>
      <c r="J20" s="7"/>
    </row>
    <row x14ac:dyDescent="0.25" r="21" customHeight="1" ht="18.75">
      <c r="A21" s="13"/>
      <c r="B21" s="20"/>
      <c r="C21" s="20"/>
      <c r="D21" s="13"/>
      <c r="E21" s="20"/>
      <c r="F21" s="13"/>
      <c r="G21" s="13"/>
      <c r="H21" s="20"/>
      <c r="I21" s="6"/>
      <c r="J21" s="7"/>
    </row>
    <row x14ac:dyDescent="0.25" r="22" customHeight="1" ht="18.75">
      <c r="A22" s="13"/>
      <c r="B22" s="20"/>
      <c r="C22" s="20"/>
      <c r="D22" s="13"/>
      <c r="E22" s="20"/>
      <c r="F22" s="13"/>
      <c r="G22" s="13"/>
      <c r="H22" s="20"/>
      <c r="I22" s="6"/>
      <c r="J22" s="7"/>
    </row>
    <row x14ac:dyDescent="0.25" r="23" customHeight="1" ht="18.75">
      <c r="A23" s="13"/>
      <c r="B23" s="20"/>
      <c r="C23" s="20"/>
      <c r="D23" s="13"/>
      <c r="E23" s="20"/>
      <c r="F23" s="13"/>
      <c r="G23" s="13"/>
      <c r="H23" s="20"/>
      <c r="I23" s="6"/>
      <c r="J23" s="7"/>
    </row>
    <row x14ac:dyDescent="0.25" r="24" customHeight="1" ht="18.75">
      <c r="A24" s="43"/>
      <c r="B24" s="44"/>
      <c r="C24" s="44"/>
      <c r="D24" s="43"/>
      <c r="E24" s="44"/>
      <c r="F24" s="43"/>
      <c r="G24" s="43"/>
      <c r="H24" s="44"/>
      <c r="I24" s="45"/>
      <c r="J24" s="46"/>
    </row>
    <row x14ac:dyDescent="0.25" r="25" customHeight="1" ht="18.75">
      <c r="A25" s="1" t="s">
        <v>0</v>
      </c>
      <c r="B25" s="2"/>
      <c r="C25" s="3"/>
      <c r="D25" s="4"/>
      <c r="E25" s="3"/>
      <c r="F25" s="4"/>
      <c r="G25" s="4"/>
      <c r="H25" s="5" t="s">
        <v>31</v>
      </c>
      <c r="I25" s="6"/>
      <c r="J25" s="7"/>
    </row>
    <row x14ac:dyDescent="0.25" r="26" customHeight="1" ht="18.75">
      <c r="A26" s="8" t="s">
        <v>2</v>
      </c>
      <c r="B26" s="9"/>
      <c r="C26" s="9"/>
      <c r="D26" s="10"/>
      <c r="E26" s="9"/>
      <c r="F26" s="10"/>
      <c r="G26" s="10"/>
      <c r="H26" s="9"/>
      <c r="I26" s="11" t="s">
        <v>3</v>
      </c>
      <c r="J26" s="12"/>
    </row>
    <row x14ac:dyDescent="0.25" r="27" customHeight="1" ht="18.75">
      <c r="A27" s="13"/>
      <c r="B27" s="14" t="s">
        <v>4</v>
      </c>
      <c r="C27" s="14"/>
      <c r="D27" s="13"/>
      <c r="E27" s="15" t="s">
        <v>5</v>
      </c>
      <c r="F27" s="16"/>
      <c r="G27" s="16"/>
      <c r="H27" s="17">
        <f>H3</f>
        <v>25569.083333333332</v>
      </c>
      <c r="I27" s="18" t="s">
        <v>6</v>
      </c>
      <c r="J27" s="47">
        <f>J3</f>
      </c>
    </row>
    <row x14ac:dyDescent="0.25" r="28" customHeight="1" ht="18.75">
      <c r="A28" s="13"/>
      <c r="B28" s="20"/>
      <c r="C28" s="20"/>
      <c r="D28" s="13"/>
      <c r="E28" s="15" t="s">
        <v>7</v>
      </c>
      <c r="F28" s="16"/>
      <c r="G28" s="16"/>
      <c r="H28" s="17">
        <f>H4</f>
        <v>25569.083333333332</v>
      </c>
      <c r="I28" s="23" t="s">
        <v>8</v>
      </c>
      <c r="J28" s="48">
        <f>J4</f>
      </c>
    </row>
    <row x14ac:dyDescent="0.25" r="29" customHeight="1" ht="18.75">
      <c r="A29" s="16" t="s">
        <v>9</v>
      </c>
      <c r="B29" s="15"/>
      <c r="C29" s="22">
        <f>C5</f>
      </c>
      <c r="D29" s="13"/>
      <c r="E29" s="15" t="s">
        <v>10</v>
      </c>
      <c r="F29" s="16"/>
      <c r="G29" s="16"/>
      <c r="H29" s="17">
        <f>H5</f>
        <v>25569.083333333332</v>
      </c>
      <c r="I29" s="21" t="s">
        <v>11</v>
      </c>
      <c r="J29" s="47">
        <f>J5</f>
      </c>
    </row>
    <row x14ac:dyDescent="0.25" r="30" customHeight="1" ht="18.75">
      <c r="A30" s="16" t="s">
        <v>12</v>
      </c>
      <c r="B30" s="15"/>
      <c r="C30" s="49">
        <f>C6</f>
      </c>
      <c r="D30" s="13"/>
      <c r="E30" s="20"/>
      <c r="F30" s="13"/>
      <c r="G30" s="13"/>
      <c r="H30" s="20"/>
      <c r="I30" s="23" t="s">
        <v>14</v>
      </c>
      <c r="J30" s="48">
        <f>J6</f>
      </c>
    </row>
    <row x14ac:dyDescent="0.25" r="31" customHeight="1" ht="18.75">
      <c r="A31" s="16" t="s">
        <v>15</v>
      </c>
      <c r="B31" s="15"/>
      <c r="C31" s="26">
        <f>C7</f>
      </c>
      <c r="D31" s="13"/>
      <c r="E31" s="20"/>
      <c r="F31" s="13"/>
      <c r="G31" s="13"/>
      <c r="H31" s="20"/>
      <c r="I31" s="21" t="s">
        <v>16</v>
      </c>
      <c r="J31" s="47">
        <f>J7</f>
      </c>
    </row>
    <row x14ac:dyDescent="0.25" r="32" customHeight="1" ht="18.75">
      <c r="A32" s="16" t="s">
        <v>17</v>
      </c>
      <c r="B32" s="15"/>
      <c r="C32" s="22">
        <f>C8</f>
      </c>
      <c r="D32" s="13"/>
      <c r="E32" s="20">
        <f>E8</f>
      </c>
      <c r="F32" s="13"/>
      <c r="G32" s="13"/>
      <c r="H32" s="20"/>
      <c r="I32" s="23" t="s">
        <v>19</v>
      </c>
      <c r="J32" s="48">
        <f>J8</f>
      </c>
    </row>
    <row x14ac:dyDescent="0.25" r="33" customHeight="1" ht="18.75">
      <c r="A33" s="13"/>
      <c r="B33" s="20"/>
      <c r="C33" s="20"/>
      <c r="D33" s="13"/>
      <c r="E33" s="50" t="s">
        <v>20</v>
      </c>
      <c r="F33" s="51"/>
      <c r="G33" s="52"/>
      <c r="H33" s="20"/>
      <c r="I33" s="21" t="s">
        <v>21</v>
      </c>
      <c r="J33" s="53">
        <f>J9</f>
      </c>
    </row>
    <row x14ac:dyDescent="0.25" r="34" customHeight="1" ht="18.75">
      <c r="A34" s="31" t="s">
        <v>22</v>
      </c>
      <c r="B34" s="28"/>
      <c r="C34" s="28" t="s">
        <v>23</v>
      </c>
      <c r="D34" s="29"/>
      <c r="E34" s="32"/>
      <c r="F34" s="33"/>
      <c r="G34" s="33"/>
      <c r="H34" s="34" t="s">
        <v>32</v>
      </c>
      <c r="I34" s="54" t="s">
        <v>25</v>
      </c>
      <c r="J34" s="55">
        <f>J10</f>
      </c>
    </row>
    <row x14ac:dyDescent="0.25" r="35" customHeight="1" ht="18.75">
      <c r="A35" s="29"/>
      <c r="B35" s="28"/>
      <c r="C35" s="28">
        <f>C11</f>
      </c>
      <c r="D35" s="29"/>
      <c r="E35" s="37">
        <v>0</v>
      </c>
      <c r="F35" s="38"/>
      <c r="G35" s="38"/>
      <c r="H35" s="39">
        <f>H11+D35+E34</f>
      </c>
      <c r="I35" s="40"/>
      <c r="J35" s="56"/>
    </row>
    <row x14ac:dyDescent="0.25" r="36" customHeight="1" ht="18.75">
      <c r="A36" s="16" t="s">
        <v>26</v>
      </c>
      <c r="B36" s="22">
        <f>B12</f>
      </c>
      <c r="C36" s="20"/>
      <c r="D36" s="13"/>
      <c r="E36" s="20">
        <f>E12</f>
      </c>
      <c r="F36" s="13"/>
      <c r="G36" s="13"/>
      <c r="H36" s="20"/>
      <c r="I36" s="6"/>
      <c r="J36" s="7"/>
    </row>
    <row x14ac:dyDescent="0.25" r="37" customHeight="1" ht="18.75">
      <c r="A37" s="16" t="s">
        <v>28</v>
      </c>
      <c r="B37" s="22">
        <f>B13</f>
      </c>
      <c r="C37" s="20"/>
      <c r="D37" s="13"/>
      <c r="E37" s="15" t="s">
        <v>29</v>
      </c>
      <c r="F37" s="16"/>
      <c r="G37" s="16"/>
      <c r="H37" s="42" t="s">
        <v>30</v>
      </c>
      <c r="I37" s="6"/>
      <c r="J37" s="7"/>
    </row>
    <row x14ac:dyDescent="0.25" r="38" customHeight="1" ht="18.75">
      <c r="A38" s="16"/>
      <c r="B38" s="15"/>
      <c r="C38" s="20"/>
      <c r="D38" s="13"/>
      <c r="E38" s="15"/>
      <c r="F38" s="16"/>
      <c r="G38" s="16"/>
      <c r="H38" s="22"/>
      <c r="I38" s="6"/>
      <c r="J38" s="7"/>
    </row>
    <row x14ac:dyDescent="0.25" r="39" customHeight="1" ht="18.75">
      <c r="A39" s="13"/>
      <c r="B39" s="20"/>
      <c r="C39" s="20"/>
      <c r="D39" s="13"/>
      <c r="E39" s="20"/>
      <c r="F39" s="13"/>
      <c r="G39" s="13"/>
      <c r="H39" s="20"/>
      <c r="I39" s="6"/>
      <c r="J39" s="7"/>
    </row>
    <row x14ac:dyDescent="0.25" r="40" customHeight="1" ht="18.75">
      <c r="A40" s="57"/>
      <c r="B40" s="58"/>
      <c r="C40" s="58"/>
      <c r="D40" s="57"/>
      <c r="E40" s="58"/>
      <c r="F40" s="57"/>
      <c r="G40" s="57"/>
      <c r="H40" s="58"/>
      <c r="I40" s="59"/>
      <c r="J40" s="60"/>
    </row>
    <row x14ac:dyDescent="0.25" r="41" customHeight="1" ht="18.75">
      <c r="A41" s="61"/>
      <c r="B41" s="62"/>
      <c r="C41" s="62"/>
      <c r="D41" s="61"/>
      <c r="E41" s="62"/>
      <c r="F41" s="61"/>
      <c r="G41" s="61"/>
      <c r="H41" s="62"/>
      <c r="I41" s="63"/>
      <c r="J41" s="64"/>
    </row>
  </sheetData>
  <mergeCells count="20">
    <mergeCell ref="A1:B1"/>
    <mergeCell ref="A2:H2"/>
    <mergeCell ref="I2:J2"/>
    <mergeCell ref="B3:C3"/>
    <mergeCell ref="E9:G9"/>
    <mergeCell ref="A10:B11"/>
    <mergeCell ref="C10:D10"/>
    <mergeCell ref="I10:I11"/>
    <mergeCell ref="J10:J11"/>
    <mergeCell ref="C11:D11"/>
    <mergeCell ref="A25:B25"/>
    <mergeCell ref="A26:H26"/>
    <mergeCell ref="I26:J26"/>
    <mergeCell ref="B27:C27"/>
    <mergeCell ref="E33:G33"/>
    <mergeCell ref="A34:B35"/>
    <mergeCell ref="C34:D34"/>
    <mergeCell ref="I34:I35"/>
    <mergeCell ref="J34:J35"/>
    <mergeCell ref="C35:D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ورقة1</vt:lpstr>
      <vt:lpstr>ورقة2</vt:lpstr>
      <vt:lpstr>ورقة3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2026-03-27T15:00:50.882Z</dcterms:created>
  <dcterms:modified xsi:type="dcterms:W3CDTF">2026-03-27T15:00:50.882Z</dcterms:modified>
</cp:coreProperties>
</file>