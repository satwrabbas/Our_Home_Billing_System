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Our Home Billing System\Real_Estate_System\Database\Unallocated\"/>
    </mc:Choice>
  </mc:AlternateContent>
  <xr:revisionPtr revIDLastSave="0" documentId="8_{BE39FB49-E042-42FE-8BAC-60ED9A051B5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ورقة1" sheetId="1" r:id="rId1"/>
    <sheet name="ورقة2" sheetId="2" r:id="rId2"/>
    <sheet name="ورقة3" sheetId="3" r:id="rId3"/>
  </sheets>
  <definedNames>
    <definedName name="_xlnm.Print_Area" localSheetId="1">ورقة2!$A$1:$S$29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C35" i="3"/>
  <c r="E32" i="3"/>
  <c r="C31" i="3"/>
  <c r="C30" i="3"/>
  <c r="C29" i="3"/>
  <c r="B13" i="3"/>
  <c r="B37" i="3" s="1"/>
  <c r="B12" i="3"/>
  <c r="B36" i="3" s="1"/>
  <c r="H11" i="3"/>
  <c r="H35" i="3" s="1"/>
  <c r="J8" i="3"/>
  <c r="J32" i="3" s="1"/>
  <c r="J7" i="3"/>
  <c r="J31" i="3" s="1"/>
  <c r="J6" i="3"/>
  <c r="J30" i="3" s="1"/>
  <c r="J5" i="3"/>
  <c r="J29" i="3" s="1"/>
  <c r="J4" i="3"/>
  <c r="J28" i="3" s="1"/>
  <c r="J3" i="3"/>
  <c r="J27" i="3" s="1"/>
  <c r="H3" i="3"/>
  <c r="H4" i="3" s="1"/>
  <c r="G22" i="2"/>
  <c r="E22" i="2"/>
  <c r="M20" i="2"/>
  <c r="E20" i="2"/>
  <c r="G20" i="2" s="1"/>
  <c r="G19" i="2"/>
  <c r="E18" i="2"/>
  <c r="G18" i="2" s="1"/>
  <c r="E17" i="2"/>
  <c r="G17" i="2" s="1"/>
  <c r="G16" i="2"/>
  <c r="E16" i="2"/>
  <c r="G14" i="2"/>
  <c r="E14" i="2"/>
  <c r="F13" i="2"/>
  <c r="G13" i="2" s="1"/>
  <c r="E13" i="2"/>
  <c r="G12" i="2"/>
  <c r="G10" i="2"/>
  <c r="G9" i="2"/>
  <c r="G8" i="2"/>
  <c r="G6" i="2"/>
  <c r="G5" i="2"/>
  <c r="G4" i="2"/>
  <c r="G3" i="2"/>
  <c r="L1" i="2"/>
  <c r="H47" i="1"/>
  <c r="C8" i="3" s="1"/>
  <c r="C32" i="3" s="1"/>
  <c r="C42" i="1"/>
  <c r="G19" i="1"/>
  <c r="G18" i="1"/>
  <c r="G17" i="1"/>
  <c r="J9" i="3" s="1"/>
  <c r="J33" i="3" s="1"/>
  <c r="G16" i="1"/>
  <c r="G15" i="1"/>
  <c r="G14" i="1"/>
  <c r="G13" i="1"/>
  <c r="G12" i="1"/>
  <c r="G11" i="1"/>
  <c r="H49" i="1" s="1"/>
  <c r="J10" i="3" s="1"/>
  <c r="J34" i="3" s="1"/>
  <c r="P10" i="1"/>
  <c r="M10" i="1"/>
  <c r="G10" i="1"/>
  <c r="P9" i="1"/>
  <c r="M9" i="1"/>
  <c r="P7" i="1"/>
  <c r="M7" i="1"/>
  <c r="P6" i="1"/>
  <c r="M6" i="1"/>
  <c r="P5" i="1"/>
  <c r="M5" i="1"/>
  <c r="P4" i="1"/>
  <c r="N11" i="1" s="1"/>
  <c r="N12" i="1" s="1"/>
  <c r="B6" i="1" s="1"/>
  <c r="E3" i="1" s="1"/>
  <c r="M4" i="1"/>
  <c r="M11" i="1" s="1"/>
  <c r="M12" i="1" s="1"/>
  <c r="B5" i="1" s="1"/>
  <c r="B7" i="1" s="1"/>
  <c r="H14" i="2" l="1"/>
  <c r="H28" i="3"/>
  <c r="H5" i="3"/>
  <c r="H29" i="3" s="1"/>
  <c r="G24" i="2"/>
  <c r="G25" i="2" s="1"/>
  <c r="G26" i="2" s="1"/>
  <c r="G27" i="2" s="1"/>
  <c r="H12" i="2"/>
  <c r="H27" i="3"/>
</calcChain>
</file>

<file path=xl/sharedStrings.xml><?xml version="1.0" encoding="utf-8"?>
<sst xmlns="http://schemas.openxmlformats.org/spreadsheetml/2006/main" count="254" uniqueCount="198">
  <si>
    <t xml:space="preserve"> بيتنا      our home</t>
  </si>
  <si>
    <t>نسخة الفريق الاول</t>
  </si>
  <si>
    <t>وصل استلام قسط</t>
  </si>
  <si>
    <t>قيمة المواد شهريا</t>
  </si>
  <si>
    <t>انشاء المستخدم: م.محمد كامل علي</t>
  </si>
  <si>
    <t>تاريخ الانشاء</t>
  </si>
  <si>
    <t>حديد</t>
  </si>
  <si>
    <t>تاريخ الاستحقاق</t>
  </si>
  <si>
    <t>اسمنت</t>
  </si>
  <si>
    <t>رقم القسط</t>
  </si>
  <si>
    <t>تاريخ الدفع</t>
  </si>
  <si>
    <t>بلوك</t>
  </si>
  <si>
    <t>اسم الفريق الثاني</t>
  </si>
  <si>
    <t>يوشع ثابت عباس</t>
  </si>
  <si>
    <t>كوفراج</t>
  </si>
  <si>
    <t>رقم الفريق الثاني</t>
  </si>
  <si>
    <t>رمل</t>
  </si>
  <si>
    <t>مجموع المبلغ</t>
  </si>
  <si>
    <t>فقط  مئة و خمس و تسعون  الف  ليرة سورية</t>
  </si>
  <si>
    <t>عامل</t>
  </si>
  <si>
    <t>الرسوم</t>
  </si>
  <si>
    <t xml:space="preserve">الامتار المحولة </t>
  </si>
  <si>
    <t>تفاصيل القسط المدفوع</t>
  </si>
  <si>
    <t>اصل القسط</t>
  </si>
  <si>
    <t>اجمالي القسط المدفوع</t>
  </si>
  <si>
    <r>
      <t>ا</t>
    </r>
    <r>
      <rPr>
        <sz val="10"/>
        <color rgb="FF000000"/>
        <rFont val="Arial"/>
        <family val="2"/>
      </rPr>
      <t>جمالي الامتار المحولة</t>
    </r>
  </si>
  <si>
    <t>رقم القسط المدفوع</t>
  </si>
  <si>
    <t xml:space="preserve"> فقط  خمس و عشرون ألف   ليرة سورية</t>
  </si>
  <si>
    <t>عدد الاقساط المتبقية</t>
  </si>
  <si>
    <t>توقيع الفريق الاول :</t>
  </si>
  <si>
    <t>م.محمد كامل علي</t>
  </si>
  <si>
    <t>نسخة الفريق الثاني</t>
  </si>
  <si>
    <t>اجمالي المبلغ المدفوع</t>
  </si>
  <si>
    <t>مساحة الشقة</t>
  </si>
  <si>
    <t>نوع العمل</t>
  </si>
  <si>
    <t>الوحدة</t>
  </si>
  <si>
    <t>السعر الافرادي</t>
  </si>
  <si>
    <t>الكمية</t>
  </si>
  <si>
    <t>السعر الاجمالي</t>
  </si>
  <si>
    <t>فراغ الطابق</t>
  </si>
  <si>
    <t>ابعاد النوافذ</t>
  </si>
  <si>
    <t xml:space="preserve">سعر المتر البواري </t>
  </si>
  <si>
    <t>اجرة تركيب م.ط مداخن</t>
  </si>
  <si>
    <t>معامل المداخن</t>
  </si>
  <si>
    <t>بتاريخ توقيع العقد</t>
  </si>
  <si>
    <t>سماكة البلاطة</t>
  </si>
  <si>
    <t>عرض النافذة</t>
  </si>
  <si>
    <t>اجرة تركيب المتر</t>
  </si>
  <si>
    <t>ثمن حديد مبروم  واصل الى موقع العمل</t>
  </si>
  <si>
    <t>كغ</t>
  </si>
  <si>
    <t>ارتفاع المنامات</t>
  </si>
  <si>
    <t>عرض النافذة الوسطى</t>
  </si>
  <si>
    <t>رمل مداخن</t>
  </si>
  <si>
    <t xml:space="preserve">  ثمن اسمنت واصل الى موقع العمل</t>
  </si>
  <si>
    <t>كيس</t>
  </si>
  <si>
    <t>ارتفاع العتب الخارجية</t>
  </si>
  <si>
    <t>عرض الباب</t>
  </si>
  <si>
    <t xml:space="preserve">اسمنت مداخن </t>
  </si>
  <si>
    <t xml:space="preserve">اجرة تركيب م.ط نوازل </t>
  </si>
  <si>
    <t>ثمن بلوك اسمنتي سامكة 15 سم واصل</t>
  </si>
  <si>
    <t>بلوكة</t>
  </si>
  <si>
    <t xml:space="preserve">ارتفاع العتب الداخلي </t>
  </si>
  <si>
    <t>عدد الشقق</t>
  </si>
  <si>
    <t>سعر م3 قيراوني</t>
  </si>
  <si>
    <t>اجرة  م2 كلسة  داخلية</t>
  </si>
  <si>
    <t xml:space="preserve">اجور كوفارج و صب حديد وتحديد بيتون </t>
  </si>
  <si>
    <t>م3</t>
  </si>
  <si>
    <t xml:space="preserve">عدد المداخن </t>
  </si>
  <si>
    <t>عدد الطوابق</t>
  </si>
  <si>
    <t xml:space="preserve">بودرا </t>
  </si>
  <si>
    <t>اجرة تركيب م2بلوك</t>
  </si>
  <si>
    <t>مسلح لزوم قواعد و اعمدة و بلاطة هوردي</t>
  </si>
  <si>
    <t>مساحة الطابق</t>
  </si>
  <si>
    <t>سعر 1 كيلو لاصق طوبى</t>
  </si>
  <si>
    <t xml:space="preserve">اجرة تركيب م2 رخام </t>
  </si>
  <si>
    <t>ثمن مواد حصوية جرجرة \بحص + نحاته \ واصل الى الموقع</t>
  </si>
  <si>
    <t>اجرة تركيب م2 حجر</t>
  </si>
  <si>
    <t>اجور صقل + اسمنت</t>
  </si>
  <si>
    <t>قيمة ريغار</t>
  </si>
  <si>
    <t xml:space="preserve">اجرة تركيب م2 سيراميك </t>
  </si>
  <si>
    <t>اجور سقاية + شريط تربيط + هوالك</t>
  </si>
  <si>
    <t>سعر بوري 8 ً طوبى</t>
  </si>
  <si>
    <t xml:space="preserve">اجرة تركيب م.ط شعيرة </t>
  </si>
  <si>
    <t>أعمدة</t>
  </si>
  <si>
    <t>سعر بوري 6 ً طوبى</t>
  </si>
  <si>
    <t xml:space="preserve">اجور الرخصة </t>
  </si>
  <si>
    <t xml:space="preserve">سعر بوري 4 ً طوبى </t>
  </si>
  <si>
    <t xml:space="preserve">  المداخن</t>
  </si>
  <si>
    <t>م</t>
  </si>
  <si>
    <t>سعر بوري 3 ً طوبى</t>
  </si>
  <si>
    <t>نوازل صحية</t>
  </si>
  <si>
    <t>سعر تي 4 ً</t>
  </si>
  <si>
    <t>أجرة م2 كلسة  خارجية</t>
  </si>
  <si>
    <t>درج</t>
  </si>
  <si>
    <t>سعر تي 3 ً</t>
  </si>
  <si>
    <t xml:space="preserve">منامات السطح و بيت الدرج </t>
  </si>
  <si>
    <t>كوع مدفع 4 ً</t>
  </si>
  <si>
    <t>كلسة خارجية</t>
  </si>
  <si>
    <t>كواني 3 ً</t>
  </si>
  <si>
    <t>بلوك خارجي</t>
  </si>
  <si>
    <t>صرف صحي</t>
  </si>
  <si>
    <t>سعر بلوك 10 سم</t>
  </si>
  <si>
    <t xml:space="preserve">قواعد و أساسات مسلحة </t>
  </si>
  <si>
    <t>سعر بلوك 12 سم</t>
  </si>
  <si>
    <t xml:space="preserve">بيتون مغموس ونظافة </t>
  </si>
  <si>
    <t>رخام تركي 3 سم</t>
  </si>
  <si>
    <t>حفريات</t>
  </si>
  <si>
    <t>رخام تركي 1.5 سم</t>
  </si>
  <si>
    <t>جدران  استندادية</t>
  </si>
  <si>
    <t>معامل الارض</t>
  </si>
  <si>
    <t xml:space="preserve">معامل تنفيذ </t>
  </si>
  <si>
    <t>معامل راس مال</t>
  </si>
  <si>
    <t>الطابق</t>
  </si>
  <si>
    <t>قبو 2</t>
  </si>
  <si>
    <t>قبو 1</t>
  </si>
  <si>
    <t>ارضي</t>
  </si>
  <si>
    <t>شقة لاحقة التخصص   يوشع عباس</t>
  </si>
  <si>
    <t>الحريف</t>
  </si>
  <si>
    <t>المعيارا لدائم لحساب القسط الشهري بدلالة قيمة البنود التالية وفق السعر المتفق عليع بتاريخ توقيع العقد</t>
  </si>
  <si>
    <t>الطابق الأول</t>
  </si>
  <si>
    <t xml:space="preserve">شقة رقم </t>
  </si>
  <si>
    <t>المحول الشهري بالمتار</t>
  </si>
  <si>
    <t xml:space="preserve">عدد الاقساط </t>
  </si>
  <si>
    <t>القسط الشهري</t>
  </si>
  <si>
    <t>مسلسل</t>
  </si>
  <si>
    <t xml:space="preserve">السعر الافرادي </t>
  </si>
  <si>
    <t>بتاريخ دفع القسط</t>
  </si>
  <si>
    <t>معادل موقع الشقة</t>
  </si>
  <si>
    <t>سعر المتر المربع عند التوقيع</t>
  </si>
  <si>
    <t>سعر المتر المربع شهريا</t>
  </si>
  <si>
    <t>قيمة الشقة عند توقيع العقد</t>
  </si>
  <si>
    <t>سعر المتر الشهري</t>
  </si>
  <si>
    <t>قيمة القسط</t>
  </si>
  <si>
    <t>معادل التخفيض</t>
  </si>
  <si>
    <t>تاريخ القسط</t>
  </si>
  <si>
    <t>عدد الامتار المباعة</t>
  </si>
  <si>
    <t>دفعة أولى</t>
  </si>
  <si>
    <t xml:space="preserve">اجور عمل لعامـل عادي 7 ساعات </t>
  </si>
  <si>
    <t>يوم</t>
  </si>
  <si>
    <t xml:space="preserve">القسط 1 </t>
  </si>
  <si>
    <t>القيمة الاجمالية للبنود السابقة بتاريخ العقد</t>
  </si>
  <si>
    <t>القسط 2</t>
  </si>
  <si>
    <t xml:space="preserve">سعر المتر المربع من الشقة المباعة وفق العقد   </t>
  </si>
  <si>
    <t xml:space="preserve">القسط 3 </t>
  </si>
  <si>
    <t>14/12/2020</t>
  </si>
  <si>
    <t>القسط 4</t>
  </si>
  <si>
    <t>القسط 5</t>
  </si>
  <si>
    <t>القسط 6</t>
  </si>
  <si>
    <t>القسط 7</t>
  </si>
  <si>
    <t>الشقة</t>
  </si>
  <si>
    <t>القسط 8</t>
  </si>
  <si>
    <t>معامل الطابق</t>
  </si>
  <si>
    <t>القسط 9</t>
  </si>
  <si>
    <t>القسط 10</t>
  </si>
  <si>
    <t>القسط 11</t>
  </si>
  <si>
    <t>القسط 12</t>
  </si>
  <si>
    <t>قيمة المصعد</t>
  </si>
  <si>
    <t>القسط 13</t>
  </si>
  <si>
    <t xml:space="preserve">عدد الدرجات حسب الطابق </t>
  </si>
  <si>
    <t>القسط 14</t>
  </si>
  <si>
    <t>مايلحق الدرجة الواحدة من قيمة المصعد</t>
  </si>
  <si>
    <t>القسط 15</t>
  </si>
  <si>
    <t>معامل المصعد</t>
  </si>
  <si>
    <t>القسط 16</t>
  </si>
  <si>
    <t>القسط 17</t>
  </si>
  <si>
    <t>القسط 18</t>
  </si>
  <si>
    <t>الوجيبة</t>
  </si>
  <si>
    <t>القسط 19</t>
  </si>
  <si>
    <t>القسط 20</t>
  </si>
  <si>
    <t>معامل الوجيبة</t>
  </si>
  <si>
    <t>القسط 21</t>
  </si>
  <si>
    <t>القسط 22</t>
  </si>
  <si>
    <t xml:space="preserve">معامل الشارع </t>
  </si>
  <si>
    <t>القسط 23</t>
  </si>
  <si>
    <t>شارعين متوازيين</t>
  </si>
  <si>
    <t>القسط 25</t>
  </si>
  <si>
    <t>شارعين متقاطعين</t>
  </si>
  <si>
    <t>القسط 26</t>
  </si>
  <si>
    <t>القسط 27</t>
  </si>
  <si>
    <t>الاتجاه</t>
  </si>
  <si>
    <t>القسط 28</t>
  </si>
  <si>
    <t>القسط 29</t>
  </si>
  <si>
    <t>معامل الاتجاه</t>
  </si>
  <si>
    <t>القسط 30</t>
  </si>
  <si>
    <t>القسط 31</t>
  </si>
  <si>
    <t>القسط 32</t>
  </si>
  <si>
    <t>وصف الشقه</t>
  </si>
  <si>
    <t>الفريق الاول</t>
  </si>
  <si>
    <t>الفريق الثاني</t>
  </si>
  <si>
    <t>المالك</t>
  </si>
  <si>
    <t xml:space="preserve">الكفيل </t>
  </si>
  <si>
    <t>مجموع المبالغ المدفوعة</t>
  </si>
  <si>
    <t>محمد علي</t>
  </si>
  <si>
    <t>عامر الكسار</t>
  </si>
  <si>
    <t>يوشع عباس</t>
  </si>
  <si>
    <t>ثابت عباس</t>
  </si>
  <si>
    <t xml:space="preserve">القسط الاخير عند التسليم </t>
  </si>
  <si>
    <t>مجموع ما يمتلكه من أمتار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</si>
</sst>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10" x14ac:knownFonts="1">
    <font>
      <sz val="11"/>
      <color theme="1"/>
      <name val="Calibri"/>
      <family val="2"/>
      <scheme val="minor"/>
    </font>
    <font>
      <sz val="16"/>
      <color rgb="FF000000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70C0"/>
      <name val="Arial"/>
      <family val="2"/>
    </font>
    <font>
      <sz val="12"/>
      <color rgb="FF0070C0"/>
      <name val="Arial"/>
      <family val="2"/>
    </font>
    <font>
      <b/>
      <i/>
      <u/>
      <sz val="11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DCDB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Dashed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Dash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0">
    <xf numFmtId="0" fontId="0" fillId="0" borderId="0" xfId="0"/>
    <xf numFmtId="3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" fontId="4" fillId="0" borderId="4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4" fontId="4" fillId="0" borderId="4" xfId="0" applyNumberFormat="1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3" fontId="4" fillId="0" borderId="4" xfId="0" applyNumberFormat="1" applyFont="1" applyBorder="1" applyAlignment="1">
      <alignment horizontal="right"/>
    </xf>
    <xf numFmtId="0" fontId="2" fillId="0" borderId="8" xfId="0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left"/>
    </xf>
    <xf numFmtId="4" fontId="2" fillId="0" borderId="8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14" fontId="4" fillId="0" borderId="10" xfId="0" applyNumberFormat="1" applyFont="1" applyBorder="1" applyAlignment="1">
      <alignment horizontal="left"/>
    </xf>
    <xf numFmtId="3" fontId="3" fillId="0" borderId="9" xfId="0" applyNumberFormat="1" applyFont="1" applyBorder="1" applyAlignment="1">
      <alignment horizontal="right"/>
    </xf>
    <xf numFmtId="0" fontId="3" fillId="0" borderId="9" xfId="0" applyFont="1" applyBorder="1" applyAlignment="1">
      <alignment horizontal="left"/>
    </xf>
    <xf numFmtId="3" fontId="3" fillId="0" borderId="10" xfId="0" applyNumberFormat="1" applyFont="1" applyBorder="1" applyAlignment="1">
      <alignment horizontal="right"/>
    </xf>
    <xf numFmtId="14" fontId="4" fillId="0" borderId="4" xfId="0" applyNumberFormat="1" applyFont="1" applyBorder="1" applyAlignment="1">
      <alignment horizontal="right"/>
    </xf>
    <xf numFmtId="0" fontId="2" fillId="0" borderId="15" xfId="0" applyFont="1" applyBorder="1" applyAlignment="1">
      <alignment horizontal="left"/>
    </xf>
    <xf numFmtId="3" fontId="2" fillId="0" borderId="15" xfId="0" applyNumberFormat="1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4" fontId="2" fillId="0" borderId="1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left"/>
    </xf>
    <xf numFmtId="4" fontId="2" fillId="0" borderId="6" xfId="0" applyNumberFormat="1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3" fontId="2" fillId="0" borderId="19" xfId="0" applyNumberFormat="1" applyFont="1" applyBorder="1" applyAlignment="1">
      <alignment horizontal="left"/>
    </xf>
    <xf numFmtId="0" fontId="2" fillId="0" borderId="19" xfId="0" applyFont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0" fontId="2" fillId="0" borderId="20" xfId="0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/>
    <xf numFmtId="3" fontId="2" fillId="0" borderId="4" xfId="0" applyNumberFormat="1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4" fontId="4" fillId="0" borderId="4" xfId="0" applyNumberFormat="1" applyFont="1" applyBorder="1" applyAlignment="1">
      <alignment horizontal="right"/>
    </xf>
    <xf numFmtId="4" fontId="2" fillId="0" borderId="4" xfId="0" applyNumberFormat="1" applyFont="1" applyBorder="1" applyAlignment="1">
      <alignment horizontal="right"/>
    </xf>
    <xf numFmtId="4" fontId="2" fillId="0" borderId="25" xfId="0" applyNumberFormat="1" applyFont="1" applyBorder="1" applyAlignment="1">
      <alignment horizontal="right"/>
    </xf>
    <xf numFmtId="4" fontId="2" fillId="0" borderId="7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2" fillId="0" borderId="9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3" fontId="5" fillId="0" borderId="30" xfId="0" applyNumberFormat="1" applyFont="1" applyBorder="1" applyAlignment="1">
      <alignment horizontal="center"/>
    </xf>
    <xf numFmtId="3" fontId="5" fillId="0" borderId="31" xfId="0" applyNumberFormat="1" applyFont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14" fontId="5" fillId="0" borderId="31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3" fontId="5" fillId="0" borderId="33" xfId="0" applyNumberFormat="1" applyFont="1" applyBorder="1" applyAlignment="1">
      <alignment horizontal="center"/>
    </xf>
    <xf numFmtId="3" fontId="5" fillId="0" borderId="33" xfId="0" applyNumberFormat="1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3" fontId="5" fillId="0" borderId="4" xfId="0" applyNumberFormat="1" applyFont="1" applyBorder="1" applyAlignment="1">
      <alignment horizontal="left"/>
    </xf>
    <xf numFmtId="3" fontId="5" fillId="0" borderId="35" xfId="0" applyNumberFormat="1" applyFont="1" applyBorder="1" applyAlignment="1">
      <alignment horizontal="center"/>
    </xf>
    <xf numFmtId="4" fontId="5" fillId="0" borderId="36" xfId="0" applyNumberFormat="1" applyFont="1" applyBorder="1" applyAlignment="1">
      <alignment horizontal="center"/>
    </xf>
    <xf numFmtId="3" fontId="5" fillId="0" borderId="37" xfId="0" applyNumberFormat="1" applyFont="1" applyBorder="1" applyAlignment="1">
      <alignment horizontal="center"/>
    </xf>
    <xf numFmtId="4" fontId="5" fillId="0" borderId="26" xfId="0" applyNumberFormat="1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3" fontId="5" fillId="0" borderId="38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3" fontId="6" fillId="2" borderId="31" xfId="0" applyNumberFormat="1" applyFont="1" applyFill="1" applyBorder="1" applyAlignment="1">
      <alignment horizontal="center"/>
    </xf>
    <xf numFmtId="3" fontId="6" fillId="0" borderId="32" xfId="0" applyNumberFormat="1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3" fontId="5" fillId="0" borderId="40" xfId="0" applyNumberFormat="1" applyFont="1" applyBorder="1" applyAlignment="1">
      <alignment horizontal="center"/>
    </xf>
    <xf numFmtId="3" fontId="5" fillId="0" borderId="41" xfId="0" applyNumberFormat="1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3" fontId="6" fillId="2" borderId="39" xfId="0" applyNumberFormat="1" applyFont="1" applyFill="1" applyBorder="1" applyAlignment="1">
      <alignment horizontal="center"/>
    </xf>
    <xf numFmtId="3" fontId="6" fillId="0" borderId="40" xfId="0" applyNumberFormat="1" applyFont="1" applyBorder="1" applyAlignment="1">
      <alignment horizontal="center"/>
    </xf>
    <xf numFmtId="0" fontId="5" fillId="0" borderId="41" xfId="0" applyFont="1" applyBorder="1" applyAlignment="1">
      <alignment horizontal="left"/>
    </xf>
    <xf numFmtId="4" fontId="5" fillId="0" borderId="41" xfId="0" applyNumberFormat="1" applyFont="1" applyBorder="1" applyAlignment="1">
      <alignment horizontal="center"/>
    </xf>
    <xf numFmtId="0" fontId="5" fillId="0" borderId="31" xfId="0" applyFont="1" applyBorder="1" applyAlignment="1">
      <alignment horizontal="left"/>
    </xf>
    <xf numFmtId="3" fontId="5" fillId="0" borderId="33" xfId="0" applyNumberFormat="1" applyFont="1" applyBorder="1" applyAlignment="1">
      <alignment horizontal="left"/>
    </xf>
    <xf numFmtId="14" fontId="5" fillId="0" borderId="32" xfId="0" applyNumberFormat="1" applyFont="1" applyBorder="1" applyAlignment="1">
      <alignment horizontal="center"/>
    </xf>
    <xf numFmtId="3" fontId="5" fillId="0" borderId="42" xfId="0" applyNumberFormat="1" applyFont="1" applyBorder="1" applyAlignment="1">
      <alignment horizontal="center"/>
    </xf>
    <xf numFmtId="14" fontId="5" fillId="0" borderId="40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3" fontId="4" fillId="0" borderId="37" xfId="0" applyNumberFormat="1" applyFont="1" applyBorder="1" applyAlignment="1">
      <alignment horizontal="right"/>
    </xf>
    <xf numFmtId="0" fontId="2" fillId="3" borderId="39" xfId="0" applyFont="1" applyFill="1" applyBorder="1" applyAlignment="1">
      <alignment horizontal="center"/>
    </xf>
    <xf numFmtId="3" fontId="2" fillId="3" borderId="9" xfId="0" applyNumberFormat="1" applyFont="1" applyFill="1" applyBorder="1" applyAlignment="1">
      <alignment horizontal="center"/>
    </xf>
    <xf numFmtId="14" fontId="2" fillId="0" borderId="40" xfId="0" applyNumberFormat="1" applyFont="1" applyBorder="1" applyAlignment="1">
      <alignment horizontal="center"/>
    </xf>
    <xf numFmtId="3" fontId="2" fillId="3" borderId="44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4" fontId="2" fillId="0" borderId="41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3" fontId="2" fillId="0" borderId="33" xfId="0" applyNumberFormat="1" applyFont="1" applyBorder="1" applyAlignment="1">
      <alignment horizontal="center"/>
    </xf>
    <xf numFmtId="3" fontId="2" fillId="0" borderId="33" xfId="0" applyNumberFormat="1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3" fontId="8" fillId="0" borderId="4" xfId="0" applyNumberFormat="1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3" fontId="2" fillId="0" borderId="38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3" fontId="2" fillId="0" borderId="41" xfId="0" applyNumberFormat="1" applyFont="1" applyBorder="1" applyAlignment="1">
      <alignment horizontal="center"/>
    </xf>
    <xf numFmtId="0" fontId="2" fillId="0" borderId="33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3" fontId="2" fillId="0" borderId="32" xfId="0" applyNumberFormat="1" applyFont="1" applyBorder="1" applyAlignment="1">
      <alignment horizontal="left"/>
    </xf>
    <xf numFmtId="3" fontId="2" fillId="0" borderId="40" xfId="0" applyNumberFormat="1" applyFont="1" applyBorder="1" applyAlignment="1">
      <alignment horizontal="left"/>
    </xf>
    <xf numFmtId="164" fontId="2" fillId="0" borderId="45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left"/>
    </xf>
    <xf numFmtId="3" fontId="2" fillId="0" borderId="31" xfId="0" applyNumberFormat="1" applyFont="1" applyBorder="1" applyAlignment="1">
      <alignment horizontal="left"/>
    </xf>
    <xf numFmtId="3" fontId="2" fillId="0" borderId="39" xfId="0" applyNumberFormat="1" applyFont="1" applyBorder="1" applyAlignment="1">
      <alignment horizontal="left"/>
    </xf>
    <xf numFmtId="164" fontId="2" fillId="0" borderId="37" xfId="0" applyNumberFormat="1" applyFont="1" applyBorder="1" applyAlignment="1">
      <alignment horizontal="center"/>
    </xf>
    <xf numFmtId="3" fontId="2" fillId="0" borderId="36" xfId="0" applyNumberFormat="1" applyFont="1" applyBorder="1" applyAlignment="1">
      <alignment horizontal="left"/>
    </xf>
    <xf numFmtId="3" fontId="2" fillId="0" borderId="37" xfId="0" applyNumberFormat="1" applyFon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3" fontId="2" fillId="0" borderId="38" xfId="0" applyNumberFormat="1" applyFont="1" applyBorder="1" applyAlignment="1">
      <alignment horizontal="left"/>
    </xf>
    <xf numFmtId="0" fontId="2" fillId="0" borderId="46" xfId="0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" fontId="8" fillId="0" borderId="47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2" fillId="0" borderId="21" xfId="0" applyNumberFormat="1" applyFont="1" applyBorder="1" applyAlignment="1">
      <alignment horizontal="left"/>
    </xf>
    <xf numFmtId="4" fontId="2" fillId="0" borderId="34" xfId="0" applyNumberFormat="1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3" fontId="3" fillId="0" borderId="20" xfId="0" applyNumberFormat="1" applyFont="1" applyBorder="1" applyAlignment="1">
      <alignment horizontal="center"/>
    </xf>
    <xf numFmtId="14" fontId="3" fillId="0" borderId="27" xfId="0" applyNumberFormat="1" applyFont="1" applyBorder="1" applyAlignment="1">
      <alignment horizontal="center"/>
    </xf>
    <xf numFmtId="3" fontId="3" fillId="0" borderId="28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" fontId="5" fillId="0" borderId="34" xfId="0" applyNumberFormat="1" applyFont="1" applyBorder="1" applyAlignment="1">
      <alignment horizontal="center"/>
    </xf>
    <xf numFmtId="3" fontId="5" fillId="0" borderId="35" xfId="0" applyNumberFormat="1" applyFont="1" applyBorder="1" applyAlignment="1">
      <alignment horizontal="center"/>
    </xf>
    <xf numFmtId="3" fontId="5" fillId="0" borderId="38" xfId="0" applyNumberFormat="1" applyFont="1" applyBorder="1" applyAlignment="1">
      <alignment horizontal="center"/>
    </xf>
    <xf numFmtId="3" fontId="5" fillId="0" borderId="37" xfId="0" applyNumberFormat="1" applyFont="1" applyBorder="1" applyAlignment="1">
      <alignment horizontal="center"/>
    </xf>
    <xf numFmtId="3" fontId="5" fillId="0" borderId="41" xfId="0" applyNumberFormat="1" applyFont="1" applyBorder="1" applyAlignment="1">
      <alignment horizontal="center" vertical="top"/>
    </xf>
    <xf numFmtId="4" fontId="5" fillId="0" borderId="41" xfId="0" applyNumberFormat="1" applyFont="1" applyBorder="1" applyAlignment="1">
      <alignment horizontal="center"/>
    </xf>
    <xf numFmtId="0" fontId="5" fillId="0" borderId="39" xfId="0" applyFont="1" applyBorder="1" applyAlignment="1">
      <alignment horizontal="center" vertical="top"/>
    </xf>
    <xf numFmtId="0" fontId="5" fillId="0" borderId="39" xfId="0" applyFont="1" applyBorder="1" applyAlignment="1">
      <alignment horizontal="center"/>
    </xf>
    <xf numFmtId="3" fontId="5" fillId="0" borderId="9" xfId="0" applyNumberFormat="1" applyFont="1" applyBorder="1" applyAlignment="1">
      <alignment horizontal="center" vertical="top"/>
    </xf>
    <xf numFmtId="3" fontId="5" fillId="0" borderId="9" xfId="0" applyNumberFormat="1" applyFont="1" applyBorder="1" applyAlignment="1">
      <alignment horizontal="center"/>
    </xf>
    <xf numFmtId="3" fontId="5" fillId="0" borderId="40" xfId="0" applyNumberFormat="1" applyFont="1" applyBorder="1" applyAlignment="1">
      <alignment horizontal="center" vertical="top"/>
    </xf>
    <xf numFmtId="3" fontId="5" fillId="0" borderId="40" xfId="0" applyNumberFormat="1" applyFont="1" applyBorder="1" applyAlignment="1">
      <alignment horizontal="center"/>
    </xf>
    <xf numFmtId="3" fontId="6" fillId="2" borderId="39" xfId="0" applyNumberFormat="1" applyFont="1" applyFill="1" applyBorder="1" applyAlignment="1">
      <alignment horizontal="center" vertical="top"/>
    </xf>
    <xf numFmtId="3" fontId="6" fillId="2" borderId="39" xfId="0" applyNumberFormat="1" applyFont="1" applyFill="1" applyBorder="1" applyAlignment="1">
      <alignment horizontal="center"/>
    </xf>
    <xf numFmtId="3" fontId="6" fillId="0" borderId="40" xfId="0" applyNumberFormat="1" applyFont="1" applyBorder="1" applyAlignment="1">
      <alignment horizontal="center" vertical="top"/>
    </xf>
    <xf numFmtId="3" fontId="6" fillId="0" borderId="40" xfId="0" applyNumberFormat="1" applyFont="1" applyBorder="1" applyAlignment="1">
      <alignment horizontal="center"/>
    </xf>
    <xf numFmtId="3" fontId="5" fillId="0" borderId="43" xfId="0" applyNumberFormat="1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3" fontId="5" fillId="0" borderId="33" xfId="0" applyNumberFormat="1" applyFont="1" applyBorder="1" applyAlignment="1">
      <alignment horizontal="center"/>
    </xf>
    <xf numFmtId="3" fontId="5" fillId="0" borderId="39" xfId="0" applyNumberFormat="1" applyFont="1" applyBorder="1" applyAlignment="1">
      <alignment horizontal="center"/>
    </xf>
    <xf numFmtId="3" fontId="4" fillId="0" borderId="28" xfId="0" applyNumberFormat="1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3" fontId="4" fillId="0" borderId="38" xfId="0" applyNumberFormat="1" applyFont="1" applyBorder="1" applyAlignment="1">
      <alignment horizontal="center"/>
    </xf>
    <xf numFmtId="3" fontId="7" fillId="0" borderId="36" xfId="0" applyNumberFormat="1" applyFont="1" applyBorder="1" applyAlignment="1">
      <alignment horizontal="center"/>
    </xf>
    <xf numFmtId="3" fontId="7" fillId="0" borderId="38" xfId="0" applyNumberFormat="1" applyFont="1" applyBorder="1" applyAlignment="1">
      <alignment horizontal="center"/>
    </xf>
    <xf numFmtId="3" fontId="7" fillId="0" borderId="37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 vertical="top"/>
    </xf>
    <xf numFmtId="3" fontId="2" fillId="0" borderId="21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 vertical="top"/>
    </xf>
    <xf numFmtId="0" fontId="2" fillId="0" borderId="23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 vertical="top"/>
    </xf>
    <xf numFmtId="4" fontId="2" fillId="0" borderId="4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wrapText="1"/>
    </xf>
    <xf numFmtId="4" fontId="2" fillId="0" borderId="12" xfId="0" applyNumberFormat="1" applyFont="1" applyBorder="1" applyAlignment="1">
      <alignment horizontal="center" vertical="top"/>
    </xf>
    <xf numFmtId="4" fontId="2" fillId="0" borderId="14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7" xfId="0" applyFont="1" applyBorder="1" applyAlignment="1">
      <alignment horizontal="center" vertical="top" wrapText="1"/>
    </xf>
    <xf numFmtId="4" fontId="2" fillId="0" borderId="16" xfId="0" applyNumberFormat="1" applyFont="1" applyBorder="1" applyAlignment="1">
      <alignment horizontal="center" vertical="top"/>
    </xf>
    <xf numFmtId="4" fontId="2" fillId="0" borderId="1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49"/>
  <sheetViews>
    <sheetView workbookViewId="0"/>
  </sheetViews>
  <sheetFormatPr defaultRowHeight="14.4" x14ac:dyDescent="0.3"/>
  <cols>
    <col min="1" max="1" width="17.6640625" style="59" bestFit="1" customWidth="1"/>
    <col min="2" max="2" width="12.33203125" style="60" bestFit="1" customWidth="1"/>
    <col min="3" max="3" width="9" style="60" bestFit="1" customWidth="1"/>
    <col min="4" max="4" width="13.33203125" style="60" bestFit="1" customWidth="1"/>
    <col min="5" max="5" width="14.33203125" style="47" bestFit="1" customWidth="1"/>
    <col min="6" max="6" width="13.5546875" style="60" bestFit="1" customWidth="1"/>
    <col min="7" max="7" width="12.88671875" style="60" bestFit="1" customWidth="1"/>
    <col min="8" max="8" width="15.109375" style="60" bestFit="1" customWidth="1"/>
    <col min="9" max="9" width="38.88671875" style="48" bestFit="1" customWidth="1"/>
    <col min="10" max="10" width="9.44140625" style="59" bestFit="1" customWidth="1"/>
    <col min="11" max="11" width="13.5546875" style="60" bestFit="1" customWidth="1"/>
    <col min="12" max="12" width="12.33203125" style="60" bestFit="1" customWidth="1"/>
    <col min="13" max="16" width="13.5546875" style="60" bestFit="1" customWidth="1"/>
    <col min="17" max="18" width="13.5546875" style="59" bestFit="1" customWidth="1"/>
  </cols>
  <sheetData>
    <row r="1" spans="1:18" ht="23.25" customHeight="1" x14ac:dyDescent="0.3">
      <c r="A1" s="148" t="s">
        <v>116</v>
      </c>
      <c r="B1" s="149"/>
      <c r="C1" s="149"/>
      <c r="D1" s="149"/>
      <c r="E1" s="150" t="s">
        <v>117</v>
      </c>
      <c r="F1" s="151"/>
      <c r="G1" s="62"/>
      <c r="H1" s="152" t="s">
        <v>118</v>
      </c>
      <c r="I1" s="153"/>
      <c r="J1" s="153"/>
      <c r="K1" s="152"/>
      <c r="L1" s="152"/>
      <c r="M1" s="152"/>
      <c r="N1" s="152"/>
      <c r="O1" s="152"/>
      <c r="P1" s="152"/>
      <c r="Q1" s="153"/>
      <c r="R1" s="50"/>
    </row>
    <row r="2" spans="1:18" ht="19.5" customHeight="1" x14ac:dyDescent="0.3">
      <c r="A2" s="63" t="s">
        <v>33</v>
      </c>
      <c r="B2" s="64">
        <v>100</v>
      </c>
      <c r="C2" s="65" t="s">
        <v>119</v>
      </c>
      <c r="D2" s="66" t="s">
        <v>120</v>
      </c>
      <c r="E2" s="67" t="s">
        <v>121</v>
      </c>
      <c r="F2" s="66" t="s">
        <v>122</v>
      </c>
      <c r="G2" s="68" t="s">
        <v>123</v>
      </c>
      <c r="H2" s="69" t="s">
        <v>124</v>
      </c>
      <c r="I2" s="70" t="s">
        <v>34</v>
      </c>
      <c r="J2" s="71" t="s">
        <v>35</v>
      </c>
      <c r="K2" s="72" t="s">
        <v>36</v>
      </c>
      <c r="L2" s="72" t="s">
        <v>37</v>
      </c>
      <c r="M2" s="72" t="s">
        <v>38</v>
      </c>
      <c r="N2" s="73" t="s">
        <v>125</v>
      </c>
      <c r="O2" s="72" t="s">
        <v>37</v>
      </c>
      <c r="P2" s="66" t="s">
        <v>38</v>
      </c>
      <c r="Q2" s="74"/>
      <c r="R2" s="50"/>
    </row>
    <row r="3" spans="1:18" ht="19.5" customHeight="1" x14ac:dyDescent="0.3">
      <c r="A3" s="75"/>
      <c r="B3" s="76"/>
      <c r="C3" s="154"/>
      <c r="D3" s="155"/>
      <c r="E3" s="78">
        <f>C10/B6</f>
        <v>0.13976240391334732</v>
      </c>
      <c r="F3" s="79">
        <v>120</v>
      </c>
      <c r="G3" s="68"/>
      <c r="H3" s="80"/>
      <c r="I3" s="81"/>
      <c r="J3" s="82"/>
      <c r="K3" s="156" t="s">
        <v>44</v>
      </c>
      <c r="L3" s="156"/>
      <c r="M3" s="156"/>
      <c r="N3" s="156" t="s">
        <v>126</v>
      </c>
      <c r="O3" s="156"/>
      <c r="P3" s="157"/>
      <c r="Q3" s="74"/>
      <c r="R3" s="50"/>
    </row>
    <row r="4" spans="1:18" ht="19.5" customHeight="1" x14ac:dyDescent="0.3">
      <c r="A4" s="70" t="s">
        <v>127</v>
      </c>
      <c r="B4" s="66">
        <v>1</v>
      </c>
      <c r="C4" s="68"/>
      <c r="D4" s="68"/>
      <c r="E4" s="84"/>
      <c r="F4" s="68"/>
      <c r="G4" s="68"/>
      <c r="H4" s="85">
        <v>1</v>
      </c>
      <c r="I4" s="86" t="s">
        <v>48</v>
      </c>
      <c r="J4" s="70" t="s">
        <v>49</v>
      </c>
      <c r="K4" s="72">
        <v>1420</v>
      </c>
      <c r="L4" s="72">
        <v>30</v>
      </c>
      <c r="M4" s="66">
        <f>(K4*L4)</f>
        <v>42600</v>
      </c>
      <c r="N4" s="87">
        <v>4225</v>
      </c>
      <c r="O4" s="72">
        <v>30</v>
      </c>
      <c r="P4" s="88">
        <f>(N4*O4)</f>
        <v>126750</v>
      </c>
      <c r="Q4" s="74"/>
      <c r="R4" s="50"/>
    </row>
    <row r="5" spans="1:18" ht="18.75" customHeight="1" x14ac:dyDescent="0.3">
      <c r="A5" s="89" t="s">
        <v>128</v>
      </c>
      <c r="B5" s="90">
        <f>M12</f>
        <v>107600</v>
      </c>
      <c r="C5" s="68"/>
      <c r="D5" s="68"/>
      <c r="E5" s="84"/>
      <c r="F5" s="68"/>
      <c r="G5" s="68"/>
      <c r="H5" s="91">
        <v>2</v>
      </c>
      <c r="I5" s="92" t="s">
        <v>53</v>
      </c>
      <c r="J5" s="89" t="s">
        <v>54</v>
      </c>
      <c r="K5" s="93">
        <v>5000</v>
      </c>
      <c r="L5" s="93">
        <v>4</v>
      </c>
      <c r="M5" s="90">
        <f>(K5*L5)</f>
        <v>20000</v>
      </c>
      <c r="N5" s="94">
        <v>11500</v>
      </c>
      <c r="O5" s="93">
        <v>4</v>
      </c>
      <c r="P5" s="95">
        <f>(N5*O5)</f>
        <v>46000</v>
      </c>
      <c r="Q5" s="74"/>
      <c r="R5" s="50"/>
    </row>
    <row r="6" spans="1:18" ht="18.75" customHeight="1" x14ac:dyDescent="0.3">
      <c r="A6" s="89" t="s">
        <v>129</v>
      </c>
      <c r="B6" s="95">
        <f>N12</f>
        <v>357750</v>
      </c>
      <c r="C6" s="68"/>
      <c r="D6" s="68"/>
      <c r="E6" s="84"/>
      <c r="F6" s="68"/>
      <c r="G6" s="68"/>
      <c r="H6" s="91">
        <v>3</v>
      </c>
      <c r="I6" s="92" t="s">
        <v>59</v>
      </c>
      <c r="J6" s="89" t="s">
        <v>60</v>
      </c>
      <c r="K6" s="93">
        <v>210</v>
      </c>
      <c r="L6" s="93">
        <v>50</v>
      </c>
      <c r="M6" s="90">
        <f>(K6*L6)</f>
        <v>10500</v>
      </c>
      <c r="N6" s="94">
        <v>900</v>
      </c>
      <c r="O6" s="93">
        <v>50</v>
      </c>
      <c r="P6" s="95">
        <f>(N6*O6)</f>
        <v>45000</v>
      </c>
      <c r="Q6" s="74"/>
      <c r="R6" s="50"/>
    </row>
    <row r="7" spans="1:18" ht="19.5" customHeight="1" x14ac:dyDescent="0.3">
      <c r="A7" s="81" t="s">
        <v>130</v>
      </c>
      <c r="B7" s="79">
        <f>CEILING(B2*B5,100)</f>
        <v>10760000</v>
      </c>
      <c r="C7" s="68"/>
      <c r="D7" s="68"/>
      <c r="E7" s="84"/>
      <c r="F7" s="68"/>
      <c r="G7" s="68"/>
      <c r="H7" s="158">
        <v>4</v>
      </c>
      <c r="I7" s="96" t="s">
        <v>65</v>
      </c>
      <c r="J7" s="160" t="s">
        <v>66</v>
      </c>
      <c r="K7" s="162">
        <v>10000</v>
      </c>
      <c r="L7" s="162">
        <v>1</v>
      </c>
      <c r="M7" s="164">
        <f>(K7*L7)</f>
        <v>10000</v>
      </c>
      <c r="N7" s="166">
        <v>27000</v>
      </c>
      <c r="O7" s="162">
        <v>1</v>
      </c>
      <c r="P7" s="168">
        <f>(N7*O7)</f>
        <v>27000</v>
      </c>
      <c r="Q7" s="74"/>
      <c r="R7" s="50"/>
    </row>
    <row r="8" spans="1:18" ht="19.5" customHeight="1" x14ac:dyDescent="0.3">
      <c r="A8" s="75"/>
      <c r="B8" s="76"/>
      <c r="C8" s="68"/>
      <c r="D8" s="76"/>
      <c r="E8" s="84"/>
      <c r="F8" s="68"/>
      <c r="G8" s="68"/>
      <c r="H8" s="159"/>
      <c r="I8" s="96" t="s">
        <v>71</v>
      </c>
      <c r="J8" s="161"/>
      <c r="K8" s="163"/>
      <c r="L8" s="163"/>
      <c r="M8" s="165"/>
      <c r="N8" s="167"/>
      <c r="O8" s="163"/>
      <c r="P8" s="169"/>
      <c r="Q8" s="74"/>
      <c r="R8" s="50"/>
    </row>
    <row r="9" spans="1:18" ht="18.75" customHeight="1" x14ac:dyDescent="0.3">
      <c r="A9" s="98"/>
      <c r="B9" s="99" t="s">
        <v>131</v>
      </c>
      <c r="C9" s="72" t="s">
        <v>132</v>
      </c>
      <c r="D9" s="99" t="s">
        <v>133</v>
      </c>
      <c r="E9" s="100" t="s">
        <v>134</v>
      </c>
      <c r="F9" s="68"/>
      <c r="G9" s="85" t="s">
        <v>135</v>
      </c>
      <c r="H9" s="101">
        <v>5</v>
      </c>
      <c r="I9" s="92" t="s">
        <v>75</v>
      </c>
      <c r="J9" s="89" t="s">
        <v>66</v>
      </c>
      <c r="K9" s="93">
        <v>9500</v>
      </c>
      <c r="L9" s="93">
        <v>2</v>
      </c>
      <c r="M9" s="90">
        <f>(K9*L9)</f>
        <v>19000</v>
      </c>
      <c r="N9" s="94">
        <v>50000</v>
      </c>
      <c r="O9" s="93">
        <v>2</v>
      </c>
      <c r="P9" s="95">
        <f>(N9*O9)</f>
        <v>100000</v>
      </c>
      <c r="Q9" s="74"/>
      <c r="R9" s="50"/>
    </row>
    <row r="10" spans="1:18" ht="19.5" customHeight="1" x14ac:dyDescent="0.3">
      <c r="A10" s="89" t="s">
        <v>136</v>
      </c>
      <c r="B10" s="62">
        <v>107600</v>
      </c>
      <c r="C10" s="93">
        <v>50000</v>
      </c>
      <c r="D10" s="62">
        <v>1</v>
      </c>
      <c r="E10" s="102">
        <v>44075</v>
      </c>
      <c r="F10" s="68"/>
      <c r="G10" s="97">
        <f t="shared" ref="G10:G19" si="0">C10/B10</f>
        <v>0.46468401486988847</v>
      </c>
      <c r="H10" s="77">
        <v>6</v>
      </c>
      <c r="I10" s="103" t="s">
        <v>137</v>
      </c>
      <c r="J10" s="81" t="s">
        <v>138</v>
      </c>
      <c r="K10" s="83">
        <v>5500</v>
      </c>
      <c r="L10" s="83">
        <v>1</v>
      </c>
      <c r="M10" s="79">
        <f>(K10*L10)</f>
        <v>5500</v>
      </c>
      <c r="N10" s="94">
        <v>13000</v>
      </c>
      <c r="O10" s="93">
        <v>1</v>
      </c>
      <c r="P10" s="95">
        <f>(N10*O10)</f>
        <v>13000</v>
      </c>
      <c r="Q10" s="74"/>
      <c r="R10" s="50"/>
    </row>
    <row r="11" spans="1:18" ht="19.5" customHeight="1" x14ac:dyDescent="0.3">
      <c r="A11" s="89" t="s">
        <v>139</v>
      </c>
      <c r="B11" s="62">
        <v>117800</v>
      </c>
      <c r="C11" s="93">
        <v>15000</v>
      </c>
      <c r="D11" s="62"/>
      <c r="E11" s="102">
        <v>44110</v>
      </c>
      <c r="F11" s="68"/>
      <c r="G11" s="97">
        <f t="shared" si="0"/>
        <v>0.12733446519524619</v>
      </c>
      <c r="H11" s="170" t="s">
        <v>140</v>
      </c>
      <c r="I11" s="171"/>
      <c r="J11" s="171"/>
      <c r="K11" s="172"/>
      <c r="L11" s="172"/>
      <c r="M11" s="66">
        <f>SUM(M4:M10)</f>
        <v>107600</v>
      </c>
      <c r="N11" s="173">
        <f>SUM(P4:P10)</f>
        <v>357750</v>
      </c>
      <c r="O11" s="163"/>
      <c r="P11" s="165"/>
      <c r="Q11" s="74"/>
      <c r="R11" s="50"/>
    </row>
    <row r="12" spans="1:18" ht="20.25" customHeight="1" x14ac:dyDescent="0.3">
      <c r="A12" s="89" t="s">
        <v>141</v>
      </c>
      <c r="B12" s="62">
        <v>124200</v>
      </c>
      <c r="C12" s="93">
        <v>10000</v>
      </c>
      <c r="D12" s="62"/>
      <c r="E12" s="102">
        <v>44144</v>
      </c>
      <c r="F12" s="68"/>
      <c r="G12" s="97">
        <f t="shared" si="0"/>
        <v>8.0515297906602251E-2</v>
      </c>
      <c r="H12" s="174" t="s">
        <v>142</v>
      </c>
      <c r="I12" s="175"/>
      <c r="J12" s="175"/>
      <c r="K12" s="176"/>
      <c r="L12" s="176"/>
      <c r="M12" s="104">
        <f>(M11*1)</f>
        <v>107600</v>
      </c>
      <c r="N12" s="177">
        <f>(N11*1)</f>
        <v>357750</v>
      </c>
      <c r="O12" s="178"/>
      <c r="P12" s="179"/>
      <c r="Q12" s="74"/>
      <c r="R12" s="50"/>
    </row>
    <row r="13" spans="1:18" ht="20.25" customHeight="1" x14ac:dyDescent="0.3">
      <c r="A13" s="105" t="s">
        <v>143</v>
      </c>
      <c r="B13" s="62">
        <v>132950</v>
      </c>
      <c r="C13" s="106">
        <v>50000</v>
      </c>
      <c r="D13" s="62"/>
      <c r="E13" s="107" t="s">
        <v>144</v>
      </c>
      <c r="F13" s="108"/>
      <c r="G13" s="97">
        <f t="shared" si="0"/>
        <v>0.37608123354644601</v>
      </c>
      <c r="H13" s="180"/>
      <c r="I13" s="181"/>
      <c r="J13" s="181"/>
      <c r="K13" s="182"/>
      <c r="L13" s="182"/>
      <c r="M13" s="182"/>
      <c r="N13" s="182"/>
      <c r="O13" s="182"/>
      <c r="P13" s="182"/>
      <c r="Q13" s="4"/>
      <c r="R13" s="50"/>
    </row>
    <row r="14" spans="1:18" ht="19.5" customHeight="1" x14ac:dyDescent="0.3">
      <c r="A14" s="109" t="s">
        <v>145</v>
      </c>
      <c r="B14" s="62">
        <v>157150</v>
      </c>
      <c r="C14" s="106">
        <v>15000</v>
      </c>
      <c r="D14" s="62">
        <v>1</v>
      </c>
      <c r="E14" s="107">
        <v>44348</v>
      </c>
      <c r="F14" s="51"/>
      <c r="G14" s="110">
        <f t="shared" si="0"/>
        <v>9.5450206808781413E-2</v>
      </c>
      <c r="H14" s="56"/>
      <c r="I14" s="4"/>
      <c r="J14" s="50"/>
      <c r="K14" s="13"/>
      <c r="L14" s="13"/>
      <c r="M14" s="13"/>
      <c r="N14" s="13"/>
      <c r="O14" s="13"/>
      <c r="P14" s="13"/>
      <c r="Q14" s="50"/>
      <c r="R14" s="50"/>
    </row>
    <row r="15" spans="1:18" ht="19.5" customHeight="1" x14ac:dyDescent="0.3">
      <c r="A15" s="109" t="s">
        <v>146</v>
      </c>
      <c r="B15" s="62">
        <v>174450</v>
      </c>
      <c r="C15" s="106">
        <v>15000</v>
      </c>
      <c r="D15" s="62">
        <v>1</v>
      </c>
      <c r="E15" s="107">
        <v>44349</v>
      </c>
      <c r="F15" s="51"/>
      <c r="G15" s="110">
        <f t="shared" si="0"/>
        <v>8.5984522785898534E-2</v>
      </c>
      <c r="H15" s="56"/>
      <c r="I15" s="111"/>
      <c r="J15" s="112"/>
      <c r="K15" s="113"/>
      <c r="L15" s="113"/>
      <c r="M15" s="113"/>
      <c r="N15" s="113"/>
      <c r="O15" s="113"/>
      <c r="P15" s="114"/>
      <c r="Q15" s="115"/>
      <c r="R15" s="50"/>
    </row>
    <row r="16" spans="1:18" ht="19.5" customHeight="1" x14ac:dyDescent="0.3">
      <c r="A16" s="109" t="s">
        <v>147</v>
      </c>
      <c r="B16" s="62">
        <v>225600</v>
      </c>
      <c r="C16" s="106">
        <v>15000</v>
      </c>
      <c r="D16" s="62">
        <v>1</v>
      </c>
      <c r="E16" s="107">
        <v>44272</v>
      </c>
      <c r="F16" s="13"/>
      <c r="G16" s="110">
        <f t="shared" si="0"/>
        <v>6.6489361702127658E-2</v>
      </c>
      <c r="H16" s="56"/>
      <c r="I16" s="109" t="s">
        <v>112</v>
      </c>
      <c r="J16" s="116"/>
      <c r="K16" s="62"/>
      <c r="L16" s="62"/>
      <c r="M16" s="62"/>
      <c r="N16" s="62"/>
      <c r="O16" s="62"/>
      <c r="P16" s="62"/>
      <c r="Q16" s="117"/>
      <c r="R16" s="50"/>
    </row>
    <row r="17" spans="1:18" ht="19.5" customHeight="1" x14ac:dyDescent="0.3">
      <c r="A17" s="109" t="s">
        <v>148</v>
      </c>
      <c r="B17" s="62">
        <v>224600</v>
      </c>
      <c r="C17" s="106">
        <v>25000</v>
      </c>
      <c r="D17" s="62">
        <v>1</v>
      </c>
      <c r="E17" s="107">
        <v>44381</v>
      </c>
      <c r="F17" s="118"/>
      <c r="G17" s="110">
        <f t="shared" si="0"/>
        <v>0.11130899376669635</v>
      </c>
      <c r="H17" s="56"/>
      <c r="I17" s="109" t="s">
        <v>149</v>
      </c>
      <c r="J17" s="116"/>
      <c r="K17" s="62"/>
      <c r="L17" s="62"/>
      <c r="M17" s="62"/>
      <c r="N17" s="62"/>
      <c r="O17" s="62"/>
      <c r="P17" s="62"/>
      <c r="Q17" s="117"/>
      <c r="R17" s="50"/>
    </row>
    <row r="18" spans="1:18" ht="20.25" customHeight="1" x14ac:dyDescent="0.3">
      <c r="A18" s="109" t="s">
        <v>150</v>
      </c>
      <c r="B18" s="62">
        <v>299600</v>
      </c>
      <c r="C18" s="106">
        <v>80000</v>
      </c>
      <c r="D18" s="62">
        <v>1</v>
      </c>
      <c r="E18" s="107">
        <v>41203</v>
      </c>
      <c r="F18" s="51"/>
      <c r="G18" s="110">
        <f t="shared" si="0"/>
        <v>0.26702269692923897</v>
      </c>
      <c r="H18" s="56"/>
      <c r="I18" s="119" t="s">
        <v>151</v>
      </c>
      <c r="J18" s="120"/>
      <c r="K18" s="121"/>
      <c r="L18" s="121"/>
      <c r="M18" s="121"/>
      <c r="N18" s="121"/>
      <c r="O18" s="121"/>
      <c r="P18" s="121"/>
      <c r="Q18" s="122"/>
      <c r="R18" s="50"/>
    </row>
    <row r="19" spans="1:18" ht="20.25" customHeight="1" x14ac:dyDescent="0.3">
      <c r="A19" s="109" t="s">
        <v>152</v>
      </c>
      <c r="B19" s="62">
        <v>357750</v>
      </c>
      <c r="C19" s="106">
        <v>20000</v>
      </c>
      <c r="D19" s="62">
        <v>1</v>
      </c>
      <c r="E19" s="107">
        <v>44807</v>
      </c>
      <c r="F19" s="51"/>
      <c r="G19" s="110">
        <f t="shared" si="0"/>
        <v>5.5904961565338925E-2</v>
      </c>
      <c r="H19" s="56"/>
      <c r="I19" s="4"/>
      <c r="J19" s="4"/>
      <c r="K19" s="51"/>
      <c r="L19" s="51"/>
      <c r="M19" s="51"/>
      <c r="N19" s="51"/>
      <c r="O19" s="51"/>
      <c r="P19" s="13"/>
      <c r="Q19" s="50"/>
      <c r="R19" s="50"/>
    </row>
    <row r="20" spans="1:18" ht="19.5" customHeight="1" x14ac:dyDescent="0.3">
      <c r="A20" s="109" t="s">
        <v>153</v>
      </c>
      <c r="B20" s="62">
        <v>0</v>
      </c>
      <c r="C20" s="106"/>
      <c r="D20" s="62">
        <v>1</v>
      </c>
      <c r="E20" s="123"/>
      <c r="F20" s="51"/>
      <c r="G20" s="124">
        <v>0</v>
      </c>
      <c r="H20" s="56"/>
      <c r="I20" s="4"/>
      <c r="J20" s="4"/>
      <c r="K20" s="51"/>
      <c r="L20" s="51"/>
      <c r="M20" s="51"/>
      <c r="N20" s="51"/>
      <c r="O20" s="51"/>
      <c r="P20" s="13"/>
      <c r="Q20" s="50"/>
      <c r="R20" s="50"/>
    </row>
    <row r="21" spans="1:18" ht="19.5" customHeight="1" x14ac:dyDescent="0.3">
      <c r="A21" s="109" t="s">
        <v>154</v>
      </c>
      <c r="B21" s="62">
        <v>0</v>
      </c>
      <c r="C21" s="106"/>
      <c r="D21" s="62">
        <v>1</v>
      </c>
      <c r="E21" s="123"/>
      <c r="F21" s="51"/>
      <c r="G21" s="124">
        <v>0</v>
      </c>
      <c r="H21" s="56"/>
      <c r="I21" s="4"/>
      <c r="J21" s="4"/>
      <c r="K21" s="51"/>
      <c r="L21" s="51"/>
      <c r="M21" s="51"/>
      <c r="N21" s="51"/>
      <c r="O21" s="51"/>
      <c r="P21" s="13"/>
      <c r="Q21" s="50"/>
      <c r="R21" s="50"/>
    </row>
    <row r="22" spans="1:18" ht="19.5" customHeight="1" x14ac:dyDescent="0.3">
      <c r="A22" s="109" t="s">
        <v>155</v>
      </c>
      <c r="B22" s="62">
        <v>0</v>
      </c>
      <c r="C22" s="106"/>
      <c r="D22" s="62">
        <v>1</v>
      </c>
      <c r="E22" s="123"/>
      <c r="F22" s="51"/>
      <c r="G22" s="124">
        <v>0</v>
      </c>
      <c r="H22" s="56"/>
      <c r="I22" s="111" t="s">
        <v>156</v>
      </c>
      <c r="J22" s="112"/>
      <c r="K22" s="113"/>
      <c r="L22" s="113"/>
      <c r="M22" s="113"/>
      <c r="N22" s="113"/>
      <c r="O22" s="113"/>
      <c r="P22" s="114"/>
      <c r="Q22" s="125"/>
      <c r="R22" s="115"/>
    </row>
    <row r="23" spans="1:18" ht="19.5" customHeight="1" x14ac:dyDescent="0.3">
      <c r="A23" s="109" t="s">
        <v>157</v>
      </c>
      <c r="B23" s="62">
        <v>0</v>
      </c>
      <c r="C23" s="62"/>
      <c r="D23" s="62">
        <v>1</v>
      </c>
      <c r="E23" s="123"/>
      <c r="F23" s="51"/>
      <c r="G23" s="124">
        <v>0</v>
      </c>
      <c r="H23" s="56"/>
      <c r="I23" s="109" t="s">
        <v>158</v>
      </c>
      <c r="J23" s="116"/>
      <c r="K23" s="62"/>
      <c r="L23" s="62"/>
      <c r="M23" s="62"/>
      <c r="N23" s="62"/>
      <c r="O23" s="62"/>
      <c r="P23" s="62"/>
      <c r="Q23" s="116"/>
      <c r="R23" s="126"/>
    </row>
    <row r="24" spans="1:18" ht="19.5" customHeight="1" x14ac:dyDescent="0.3">
      <c r="A24" s="109" t="s">
        <v>159</v>
      </c>
      <c r="B24" s="62">
        <v>0</v>
      </c>
      <c r="C24" s="62"/>
      <c r="D24" s="62">
        <v>1</v>
      </c>
      <c r="E24" s="123"/>
      <c r="F24" s="51"/>
      <c r="G24" s="124">
        <v>0</v>
      </c>
      <c r="H24" s="56"/>
      <c r="I24" s="109" t="s">
        <v>160</v>
      </c>
      <c r="J24" s="116"/>
      <c r="K24" s="62"/>
      <c r="L24" s="62"/>
      <c r="M24" s="62"/>
      <c r="N24" s="62"/>
      <c r="O24" s="62"/>
      <c r="P24" s="22"/>
      <c r="Q24" s="116"/>
      <c r="R24" s="126"/>
    </row>
    <row r="25" spans="1:18" ht="20.25" customHeight="1" x14ac:dyDescent="0.3">
      <c r="A25" s="109" t="s">
        <v>161</v>
      </c>
      <c r="B25" s="62">
        <v>0</v>
      </c>
      <c r="C25" s="62"/>
      <c r="D25" s="62">
        <v>1</v>
      </c>
      <c r="E25" s="123"/>
      <c r="F25" s="51"/>
      <c r="G25" s="124">
        <v>0</v>
      </c>
      <c r="H25" s="56"/>
      <c r="I25" s="119" t="s">
        <v>162</v>
      </c>
      <c r="J25" s="120"/>
      <c r="K25" s="121"/>
      <c r="L25" s="121"/>
      <c r="M25" s="121"/>
      <c r="N25" s="121"/>
      <c r="O25" s="121"/>
      <c r="P25" s="121"/>
      <c r="Q25" s="120"/>
      <c r="R25" s="122"/>
    </row>
    <row r="26" spans="1:18" ht="20.25" customHeight="1" x14ac:dyDescent="0.3">
      <c r="A26" s="109" t="s">
        <v>163</v>
      </c>
      <c r="B26" s="62">
        <v>0</v>
      </c>
      <c r="C26" s="62"/>
      <c r="D26" s="62">
        <v>1</v>
      </c>
      <c r="E26" s="123"/>
      <c r="F26" s="51"/>
      <c r="G26" s="124">
        <v>0</v>
      </c>
      <c r="H26" s="56"/>
      <c r="I26" s="4"/>
      <c r="J26" s="4"/>
      <c r="K26" s="51"/>
      <c r="L26" s="51"/>
      <c r="M26" s="51"/>
      <c r="N26" s="51"/>
      <c r="O26" s="51"/>
      <c r="P26" s="51"/>
      <c r="Q26" s="4"/>
      <c r="R26" s="50"/>
    </row>
    <row r="27" spans="1:18" ht="19.5" customHeight="1" x14ac:dyDescent="0.3">
      <c r="A27" s="109" t="s">
        <v>164</v>
      </c>
      <c r="B27" s="62">
        <v>0</v>
      </c>
      <c r="C27" s="62"/>
      <c r="D27" s="62">
        <v>1</v>
      </c>
      <c r="E27" s="123"/>
      <c r="F27" s="13"/>
      <c r="G27" s="124">
        <v>0</v>
      </c>
      <c r="H27" s="56"/>
      <c r="I27" s="4"/>
      <c r="J27" s="50"/>
      <c r="K27" s="13"/>
      <c r="L27" s="13"/>
      <c r="M27" s="13"/>
      <c r="N27" s="13"/>
      <c r="O27" s="13"/>
      <c r="P27" s="13"/>
      <c r="Q27" s="50"/>
      <c r="R27" s="50"/>
    </row>
    <row r="28" spans="1:18" ht="19.5" customHeight="1" x14ac:dyDescent="0.3">
      <c r="A28" s="109" t="s">
        <v>165</v>
      </c>
      <c r="B28" s="62">
        <v>0</v>
      </c>
      <c r="C28" s="62"/>
      <c r="D28" s="62">
        <v>1</v>
      </c>
      <c r="E28" s="123"/>
      <c r="F28" s="13"/>
      <c r="G28" s="124">
        <v>0</v>
      </c>
      <c r="H28" s="56"/>
      <c r="I28" s="111" t="s">
        <v>166</v>
      </c>
      <c r="J28" s="125"/>
      <c r="K28" s="114"/>
      <c r="L28" s="114"/>
      <c r="M28" s="127"/>
      <c r="N28" s="13"/>
      <c r="O28" s="13"/>
      <c r="P28" s="13"/>
      <c r="Q28" s="50"/>
      <c r="R28" s="50"/>
    </row>
    <row r="29" spans="1:18" ht="19.5" customHeight="1" x14ac:dyDescent="0.3">
      <c r="A29" s="109" t="s">
        <v>167</v>
      </c>
      <c r="B29" s="62">
        <v>0</v>
      </c>
      <c r="C29" s="62"/>
      <c r="D29" s="62">
        <v>1</v>
      </c>
      <c r="E29" s="123"/>
      <c r="F29" s="13"/>
      <c r="G29" s="124">
        <v>0</v>
      </c>
      <c r="H29" s="56"/>
      <c r="I29" s="109"/>
      <c r="J29" s="23"/>
      <c r="K29" s="22"/>
      <c r="L29" s="22"/>
      <c r="M29" s="128"/>
      <c r="N29" s="13"/>
      <c r="O29" s="13"/>
      <c r="P29" s="13"/>
      <c r="Q29" s="50"/>
      <c r="R29" s="50"/>
    </row>
    <row r="30" spans="1:18" ht="19.5" customHeight="1" x14ac:dyDescent="0.3">
      <c r="A30" s="109" t="s">
        <v>168</v>
      </c>
      <c r="B30" s="62">
        <v>0</v>
      </c>
      <c r="C30" s="62"/>
      <c r="D30" s="62">
        <v>1</v>
      </c>
      <c r="E30" s="129"/>
      <c r="F30" s="13"/>
      <c r="G30" s="124">
        <v>0</v>
      </c>
      <c r="H30" s="56"/>
      <c r="I30" s="109" t="s">
        <v>169</v>
      </c>
      <c r="J30" s="23"/>
      <c r="K30" s="22"/>
      <c r="L30" s="22"/>
      <c r="M30" s="128"/>
      <c r="N30" s="13"/>
      <c r="O30" s="13"/>
      <c r="P30" s="13"/>
      <c r="Q30" s="50"/>
      <c r="R30" s="50"/>
    </row>
    <row r="31" spans="1:18" ht="19.5" customHeight="1" x14ac:dyDescent="0.3">
      <c r="A31" s="109" t="s">
        <v>170</v>
      </c>
      <c r="B31" s="62">
        <v>0</v>
      </c>
      <c r="C31" s="62"/>
      <c r="D31" s="62">
        <v>1</v>
      </c>
      <c r="E31" s="123"/>
      <c r="F31" s="13"/>
      <c r="G31" s="124">
        <v>0</v>
      </c>
      <c r="H31" s="56"/>
      <c r="I31" s="109"/>
      <c r="J31" s="23"/>
      <c r="K31" s="22"/>
      <c r="L31" s="22"/>
      <c r="M31" s="130"/>
      <c r="N31" s="131"/>
      <c r="O31" s="127"/>
      <c r="P31" s="13"/>
      <c r="Q31" s="50"/>
      <c r="R31" s="50"/>
    </row>
    <row r="32" spans="1:18" ht="19.5" customHeight="1" x14ac:dyDescent="0.3">
      <c r="A32" s="109" t="s">
        <v>171</v>
      </c>
      <c r="B32" s="62">
        <v>0</v>
      </c>
      <c r="C32" s="62"/>
      <c r="D32" s="62">
        <v>1</v>
      </c>
      <c r="E32" s="123"/>
      <c r="F32" s="13"/>
      <c r="G32" s="124">
        <v>0</v>
      </c>
      <c r="H32" s="56"/>
      <c r="I32" s="109" t="s">
        <v>172</v>
      </c>
      <c r="J32" s="23"/>
      <c r="K32" s="22"/>
      <c r="L32" s="22"/>
      <c r="M32" s="130"/>
      <c r="N32" s="132"/>
      <c r="O32" s="128"/>
      <c r="P32" s="13"/>
      <c r="Q32" s="50"/>
      <c r="R32" s="50"/>
    </row>
    <row r="33" spans="1:18" ht="20.25" customHeight="1" x14ac:dyDescent="0.3">
      <c r="A33" s="109" t="s">
        <v>173</v>
      </c>
      <c r="B33" s="62">
        <v>0</v>
      </c>
      <c r="C33" s="62"/>
      <c r="D33" s="62">
        <v>1</v>
      </c>
      <c r="E33" s="133"/>
      <c r="F33" s="13"/>
      <c r="G33" s="124">
        <v>0</v>
      </c>
      <c r="H33" s="56"/>
      <c r="I33" s="109" t="s">
        <v>174</v>
      </c>
      <c r="J33" s="23"/>
      <c r="K33" s="22"/>
      <c r="L33" s="22"/>
      <c r="M33" s="130"/>
      <c r="N33" s="134"/>
      <c r="O33" s="135"/>
      <c r="P33" s="13"/>
      <c r="Q33" s="50"/>
      <c r="R33" s="50"/>
    </row>
    <row r="34" spans="1:18" ht="20.25" customHeight="1" x14ac:dyDescent="0.3">
      <c r="A34" s="109" t="s">
        <v>175</v>
      </c>
      <c r="B34" s="62">
        <v>0</v>
      </c>
      <c r="C34" s="62"/>
      <c r="D34" s="62">
        <v>1</v>
      </c>
      <c r="E34" s="136"/>
      <c r="F34" s="13"/>
      <c r="G34" s="124">
        <v>0</v>
      </c>
      <c r="H34" s="56"/>
      <c r="I34" s="119" t="s">
        <v>176</v>
      </c>
      <c r="J34" s="137"/>
      <c r="K34" s="138"/>
      <c r="L34" s="138"/>
      <c r="M34" s="135"/>
      <c r="N34" s="13"/>
      <c r="O34" s="13"/>
      <c r="P34" s="13"/>
      <c r="Q34" s="50"/>
      <c r="R34" s="50"/>
    </row>
    <row r="35" spans="1:18" ht="20.25" customHeight="1" x14ac:dyDescent="0.3">
      <c r="A35" s="109" t="s">
        <v>177</v>
      </c>
      <c r="B35" s="62">
        <v>0</v>
      </c>
      <c r="C35" s="62"/>
      <c r="D35" s="62">
        <v>1</v>
      </c>
      <c r="E35" s="136"/>
      <c r="F35" s="13"/>
      <c r="G35" s="124">
        <v>0</v>
      </c>
      <c r="H35" s="56"/>
      <c r="I35" s="4"/>
      <c r="J35" s="50"/>
      <c r="K35" s="13"/>
      <c r="L35" s="13"/>
      <c r="M35" s="13"/>
      <c r="N35" s="13"/>
      <c r="O35" s="13"/>
      <c r="P35" s="13"/>
      <c r="Q35" s="50"/>
      <c r="R35" s="50"/>
    </row>
    <row r="36" spans="1:18" ht="18.75" customHeight="1" x14ac:dyDescent="0.3">
      <c r="A36" s="109" t="s">
        <v>178</v>
      </c>
      <c r="B36" s="62">
        <v>0</v>
      </c>
      <c r="C36" s="62"/>
      <c r="D36" s="62">
        <v>1</v>
      </c>
      <c r="E36" s="136"/>
      <c r="F36" s="13"/>
      <c r="G36" s="124">
        <v>0</v>
      </c>
      <c r="H36" s="56"/>
      <c r="I36" s="111" t="s">
        <v>179</v>
      </c>
      <c r="J36" s="125"/>
      <c r="K36" s="114"/>
      <c r="L36" s="114"/>
      <c r="M36" s="127"/>
      <c r="N36" s="13"/>
      <c r="O36" s="13"/>
      <c r="P36" s="13"/>
      <c r="Q36" s="50"/>
      <c r="R36" s="50"/>
    </row>
    <row r="37" spans="1:18" ht="18.75" customHeight="1" x14ac:dyDescent="0.3">
      <c r="A37" s="109" t="s">
        <v>180</v>
      </c>
      <c r="B37" s="62">
        <v>0</v>
      </c>
      <c r="C37" s="62"/>
      <c r="D37" s="62">
        <v>1</v>
      </c>
      <c r="E37" s="136"/>
      <c r="F37" s="13"/>
      <c r="G37" s="124">
        <v>0</v>
      </c>
      <c r="H37" s="56"/>
      <c r="I37" s="109"/>
      <c r="J37" s="23"/>
      <c r="K37" s="22"/>
      <c r="L37" s="22"/>
      <c r="M37" s="128"/>
      <c r="N37" s="13"/>
      <c r="O37" s="13"/>
      <c r="P37" s="13"/>
      <c r="Q37" s="50"/>
      <c r="R37" s="50"/>
    </row>
    <row r="38" spans="1:18" ht="18.75" customHeight="1" x14ac:dyDescent="0.3">
      <c r="A38" s="139" t="s">
        <v>181</v>
      </c>
      <c r="B38" s="62">
        <v>0</v>
      </c>
      <c r="C38" s="140"/>
      <c r="D38" s="62">
        <v>1</v>
      </c>
      <c r="E38" s="136"/>
      <c r="F38" s="13"/>
      <c r="G38" s="124">
        <v>0</v>
      </c>
      <c r="H38" s="56"/>
      <c r="I38" s="119" t="s">
        <v>182</v>
      </c>
      <c r="J38" s="137"/>
      <c r="K38" s="138"/>
      <c r="L38" s="138"/>
      <c r="M38" s="135"/>
      <c r="N38" s="13"/>
      <c r="O38" s="13"/>
      <c r="P38" s="13"/>
      <c r="Q38" s="50"/>
      <c r="R38" s="50"/>
    </row>
    <row r="39" spans="1:18" ht="18.75" customHeight="1" x14ac:dyDescent="0.3">
      <c r="A39" s="109" t="s">
        <v>183</v>
      </c>
      <c r="B39" s="62">
        <v>0</v>
      </c>
      <c r="C39" s="62"/>
      <c r="D39" s="62">
        <v>1</v>
      </c>
      <c r="E39" s="136"/>
      <c r="F39" s="13"/>
      <c r="G39" s="124">
        <v>0</v>
      </c>
      <c r="H39" s="56"/>
      <c r="I39" s="4"/>
      <c r="J39" s="50"/>
      <c r="K39" s="13"/>
      <c r="L39" s="13"/>
      <c r="M39" s="13"/>
      <c r="N39" s="13"/>
      <c r="O39" s="13"/>
      <c r="P39" s="13"/>
      <c r="Q39" s="50"/>
      <c r="R39" s="50"/>
    </row>
    <row r="40" spans="1:18" ht="18.75" customHeight="1" x14ac:dyDescent="0.3">
      <c r="A40" s="139" t="s">
        <v>184</v>
      </c>
      <c r="B40" s="62">
        <v>0</v>
      </c>
      <c r="C40" s="62"/>
      <c r="D40" s="62">
        <v>1</v>
      </c>
      <c r="E40" s="136"/>
      <c r="F40" s="13"/>
      <c r="G40" s="124">
        <v>0</v>
      </c>
      <c r="H40" s="56"/>
      <c r="I40" s="111" t="s">
        <v>149</v>
      </c>
      <c r="J40" s="125"/>
      <c r="K40" s="114"/>
      <c r="L40" s="114"/>
      <c r="M40" s="114"/>
      <c r="N40" s="114"/>
      <c r="O40" s="127"/>
      <c r="P40" s="13"/>
      <c r="Q40" s="50"/>
      <c r="R40" s="50"/>
    </row>
    <row r="41" spans="1:18" ht="18.75" customHeight="1" x14ac:dyDescent="0.3">
      <c r="A41" s="119" t="s">
        <v>185</v>
      </c>
      <c r="B41" s="62">
        <v>0</v>
      </c>
      <c r="C41" s="121"/>
      <c r="D41" s="62">
        <v>1</v>
      </c>
      <c r="E41" s="136"/>
      <c r="F41" s="13"/>
      <c r="G41" s="124">
        <v>0</v>
      </c>
      <c r="H41" s="56"/>
      <c r="I41" s="119" t="s">
        <v>186</v>
      </c>
      <c r="J41" s="137"/>
      <c r="K41" s="138"/>
      <c r="L41" s="138"/>
      <c r="M41" s="138"/>
      <c r="N41" s="138"/>
      <c r="O41" s="135"/>
      <c r="P41" s="13"/>
      <c r="Q41" s="50"/>
      <c r="R41" s="50"/>
    </row>
    <row r="42" spans="1:18" ht="18.75" customHeight="1" x14ac:dyDescent="0.3">
      <c r="A42" s="50"/>
      <c r="B42" s="13"/>
      <c r="C42" s="51">
        <f>SUM(C10:C41)</f>
        <v>295000</v>
      </c>
      <c r="D42" s="13"/>
      <c r="E42" s="136"/>
      <c r="F42" s="13"/>
      <c r="G42" s="13"/>
      <c r="H42" s="56"/>
      <c r="I42" s="4"/>
      <c r="J42" s="50"/>
      <c r="K42" s="13"/>
      <c r="L42" s="13"/>
      <c r="M42" s="13"/>
      <c r="N42" s="13"/>
      <c r="O42" s="13"/>
      <c r="P42" s="13"/>
      <c r="Q42" s="50"/>
      <c r="R42" s="50"/>
    </row>
    <row r="43" spans="1:18" ht="18.75" customHeight="1" x14ac:dyDescent="0.3">
      <c r="A43" s="50"/>
      <c r="B43" s="13"/>
      <c r="C43" s="13"/>
      <c r="D43" s="13"/>
      <c r="E43" s="136"/>
      <c r="F43" s="13"/>
      <c r="G43" s="13"/>
      <c r="H43" s="56"/>
      <c r="I43" s="4"/>
      <c r="J43" s="50"/>
      <c r="K43" s="13"/>
      <c r="L43" s="13"/>
      <c r="M43" s="13"/>
      <c r="N43" s="13"/>
      <c r="O43" s="13"/>
      <c r="P43" s="13"/>
      <c r="Q43" s="50"/>
      <c r="R43" s="50"/>
    </row>
    <row r="44" spans="1:18" ht="18.75" customHeight="1" x14ac:dyDescent="0.3">
      <c r="A44" s="50"/>
      <c r="B44" s="13"/>
      <c r="C44" s="13"/>
      <c r="D44" s="13"/>
      <c r="E44" s="136"/>
      <c r="F44" s="13"/>
      <c r="G44" s="13"/>
      <c r="H44" s="56"/>
      <c r="I44" s="4"/>
      <c r="J44" s="50"/>
      <c r="K44" s="13"/>
      <c r="L44" s="13"/>
      <c r="M44" s="13"/>
      <c r="N44" s="13"/>
      <c r="O44" s="13"/>
      <c r="P44" s="13"/>
      <c r="Q44" s="50"/>
      <c r="R44" s="50"/>
    </row>
    <row r="45" spans="1:18" ht="18.75" customHeight="1" x14ac:dyDescent="0.3">
      <c r="A45" s="50"/>
      <c r="B45" s="13"/>
      <c r="C45" s="13"/>
      <c r="D45" s="13"/>
      <c r="E45" s="136"/>
      <c r="F45" s="13"/>
      <c r="G45" s="13"/>
      <c r="H45" s="56"/>
      <c r="I45" s="4"/>
      <c r="J45" s="50"/>
      <c r="K45" s="13"/>
      <c r="L45" s="13"/>
      <c r="M45" s="13"/>
      <c r="N45" s="13"/>
      <c r="O45" s="13"/>
      <c r="P45" s="13"/>
      <c r="Q45" s="50"/>
      <c r="R45" s="50"/>
    </row>
    <row r="46" spans="1:18" ht="18.75" customHeight="1" x14ac:dyDescent="0.3">
      <c r="A46" s="6" t="s">
        <v>187</v>
      </c>
      <c r="B46" s="13"/>
      <c r="C46" s="13"/>
      <c r="D46" s="20" t="s">
        <v>188</v>
      </c>
      <c r="E46" s="136"/>
      <c r="F46" s="13"/>
      <c r="G46" s="13"/>
      <c r="H46" s="56"/>
      <c r="I46" s="4"/>
      <c r="J46" s="50"/>
      <c r="K46" s="13"/>
      <c r="L46" s="13"/>
      <c r="M46" s="13"/>
      <c r="N46" s="13"/>
      <c r="O46" s="13"/>
      <c r="P46" s="13"/>
      <c r="Q46" s="50"/>
      <c r="R46" s="50"/>
    </row>
    <row r="47" spans="1:18" ht="18.75" customHeight="1" x14ac:dyDescent="0.3">
      <c r="A47" s="50"/>
      <c r="B47" s="13"/>
      <c r="C47" s="13"/>
      <c r="D47" s="20" t="s">
        <v>189</v>
      </c>
      <c r="E47" s="141" t="s">
        <v>190</v>
      </c>
      <c r="F47" s="13"/>
      <c r="G47" s="13"/>
      <c r="H47" s="13">
        <f>SUM(C10:C41)</f>
        <v>295000</v>
      </c>
      <c r="I47" s="142" t="s">
        <v>191</v>
      </c>
      <c r="J47" s="50"/>
      <c r="K47" s="13"/>
      <c r="L47" s="13"/>
      <c r="M47" s="13"/>
      <c r="N47" s="13"/>
      <c r="O47" s="13"/>
      <c r="P47" s="13"/>
      <c r="Q47" s="50"/>
      <c r="R47" s="50"/>
    </row>
    <row r="48" spans="1:18" ht="18.75" customHeight="1" x14ac:dyDescent="0.3">
      <c r="A48" s="4" t="s">
        <v>192</v>
      </c>
      <c r="B48" s="20" t="s">
        <v>193</v>
      </c>
      <c r="C48" s="13"/>
      <c r="D48" s="20" t="s">
        <v>194</v>
      </c>
      <c r="E48" s="141" t="s">
        <v>195</v>
      </c>
      <c r="F48" s="13"/>
      <c r="G48" s="13"/>
      <c r="H48" s="143"/>
      <c r="I48" s="144" t="s">
        <v>196</v>
      </c>
      <c r="J48" s="50"/>
      <c r="K48" s="13"/>
      <c r="L48" s="145"/>
      <c r="M48" s="13"/>
      <c r="N48" s="13"/>
      <c r="O48" s="13"/>
      <c r="P48" s="13"/>
      <c r="Q48" s="50"/>
      <c r="R48" s="50"/>
    </row>
    <row r="49" spans="1:18" ht="18.75" customHeight="1" x14ac:dyDescent="0.3">
      <c r="A49" s="50"/>
      <c r="B49" s="13"/>
      <c r="C49" s="13"/>
      <c r="D49" s="13"/>
      <c r="E49" s="136"/>
      <c r="F49" s="13"/>
      <c r="G49" s="13"/>
      <c r="H49" s="146">
        <f>SUM(G10:G48)</f>
        <v>1.730775755076265</v>
      </c>
      <c r="I49" s="147" t="s">
        <v>197</v>
      </c>
      <c r="J49" s="50"/>
      <c r="K49" s="13"/>
      <c r="L49" s="13"/>
      <c r="M49" s="13"/>
      <c r="N49" s="13"/>
      <c r="O49" s="13"/>
      <c r="P49" s="13"/>
      <c r="Q49" s="50"/>
      <c r="R49" s="50"/>
    </row>
  </sheetData>
  <mergeCells count="19">
    <mergeCell ref="H12:L12"/>
    <mergeCell ref="N12:P12"/>
    <mergeCell ref="H13:P13"/>
    <mergeCell ref="N7:N8"/>
    <mergeCell ref="O7:O8"/>
    <mergeCell ref="P7:P8"/>
    <mergeCell ref="H11:L11"/>
    <mergeCell ref="N11:P11"/>
    <mergeCell ref="H7:H8"/>
    <mergeCell ref="J7:J8"/>
    <mergeCell ref="K7:K8"/>
    <mergeCell ref="L7:L8"/>
    <mergeCell ref="M7:M8"/>
    <mergeCell ref="A1:D1"/>
    <mergeCell ref="E1:F1"/>
    <mergeCell ref="H1:Q1"/>
    <mergeCell ref="C3:D3"/>
    <mergeCell ref="K3:M3"/>
    <mergeCell ref="N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R30"/>
  <sheetViews>
    <sheetView tabSelected="1" workbookViewId="0"/>
  </sheetViews>
  <sheetFormatPr defaultRowHeight="14.4" x14ac:dyDescent="0.3"/>
  <cols>
    <col min="1" max="1" width="13.5546875" style="59" bestFit="1" customWidth="1"/>
    <col min="2" max="2" width="6.44140625" style="60" bestFit="1" customWidth="1"/>
    <col min="3" max="3" width="29.109375" style="59" bestFit="1" customWidth="1"/>
    <col min="4" max="4" width="13.5546875" style="48" bestFit="1" customWidth="1"/>
    <col min="5" max="6" width="13.5546875" style="60" bestFit="1" customWidth="1"/>
    <col min="7" max="7" width="9.6640625" style="60" bestFit="1" customWidth="1"/>
    <col min="8" max="8" width="9.6640625" style="61" bestFit="1" customWidth="1"/>
    <col min="9" max="9" width="14.44140625" style="59" bestFit="1" customWidth="1"/>
    <col min="10" max="10" width="9" style="60" bestFit="1" customWidth="1"/>
    <col min="11" max="11" width="15.6640625" style="60" bestFit="1" customWidth="1"/>
    <col min="12" max="12" width="6.88671875" style="60" bestFit="1" customWidth="1"/>
    <col min="13" max="13" width="12.44140625" style="60" bestFit="1" customWidth="1"/>
    <col min="14" max="14" width="13.5546875" style="60" bestFit="1" customWidth="1"/>
    <col min="15" max="15" width="6" style="60" bestFit="1" customWidth="1"/>
    <col min="16" max="16" width="5.6640625" style="60" bestFit="1" customWidth="1"/>
    <col min="17" max="17" width="16" style="59" bestFit="1" customWidth="1"/>
    <col min="18" max="18" width="13" style="60" bestFit="1" customWidth="1"/>
  </cols>
  <sheetData>
    <row r="1" spans="1:18" ht="18.75" customHeight="1" x14ac:dyDescent="0.3">
      <c r="A1" s="50" t="s">
        <v>33</v>
      </c>
      <c r="B1" s="51">
        <v>100</v>
      </c>
      <c r="C1" s="4" t="s">
        <v>34</v>
      </c>
      <c r="D1" s="4" t="s">
        <v>35</v>
      </c>
      <c r="E1" s="51" t="s">
        <v>36</v>
      </c>
      <c r="F1" s="51" t="s">
        <v>37</v>
      </c>
      <c r="G1" s="51" t="s">
        <v>38</v>
      </c>
      <c r="H1" s="5"/>
      <c r="I1" s="4" t="s">
        <v>39</v>
      </c>
      <c r="J1" s="5">
        <v>3.15</v>
      </c>
      <c r="K1" s="51" t="s">
        <v>40</v>
      </c>
      <c r="L1" s="5">
        <f>J4-J3</f>
        <v>1.2499999999999998</v>
      </c>
      <c r="M1" s="51" t="s">
        <v>41</v>
      </c>
      <c r="N1" s="51">
        <v>300</v>
      </c>
      <c r="O1" s="13"/>
      <c r="P1" s="13"/>
      <c r="Q1" s="50" t="s">
        <v>42</v>
      </c>
      <c r="R1" s="51">
        <v>500</v>
      </c>
    </row>
    <row r="2" spans="1:18" ht="18.75" customHeight="1" x14ac:dyDescent="0.3">
      <c r="A2" s="50" t="s">
        <v>43</v>
      </c>
      <c r="B2" s="51">
        <v>5</v>
      </c>
      <c r="C2" s="4"/>
      <c r="D2" s="4"/>
      <c r="E2" s="152" t="s">
        <v>44</v>
      </c>
      <c r="F2" s="183"/>
      <c r="G2" s="183"/>
      <c r="H2" s="5"/>
      <c r="I2" s="50" t="s">
        <v>45</v>
      </c>
      <c r="J2" s="5">
        <v>0.25</v>
      </c>
      <c r="K2" s="20" t="s">
        <v>46</v>
      </c>
      <c r="L2" s="5">
        <v>1.6</v>
      </c>
      <c r="M2" s="20" t="s">
        <v>47</v>
      </c>
      <c r="N2" s="51">
        <v>500</v>
      </c>
      <c r="O2" s="13"/>
      <c r="P2" s="13"/>
      <c r="Q2" s="50"/>
      <c r="R2" s="51"/>
    </row>
    <row r="3" spans="1:18" ht="18.75" customHeight="1" x14ac:dyDescent="0.3">
      <c r="A3" s="50"/>
      <c r="B3" s="51"/>
      <c r="C3" s="4" t="s">
        <v>48</v>
      </c>
      <c r="D3" s="4" t="s">
        <v>49</v>
      </c>
      <c r="E3" s="51">
        <v>320</v>
      </c>
      <c r="F3" s="51">
        <v>17</v>
      </c>
      <c r="G3" s="51">
        <f>(E3*F3)</f>
        <v>5440</v>
      </c>
      <c r="H3" s="5"/>
      <c r="I3" s="50" t="s">
        <v>50</v>
      </c>
      <c r="J3" s="5">
        <v>1.05</v>
      </c>
      <c r="K3" s="20" t="s">
        <v>51</v>
      </c>
      <c r="L3" s="5">
        <v>1.8</v>
      </c>
      <c r="M3" s="20" t="s">
        <v>52</v>
      </c>
      <c r="N3" s="5">
        <v>7.0000000000000001E-3</v>
      </c>
      <c r="O3" s="13"/>
      <c r="P3" s="13"/>
      <c r="Q3" s="50"/>
      <c r="R3" s="51"/>
    </row>
    <row r="4" spans="1:18" ht="18.75" customHeight="1" x14ac:dyDescent="0.3">
      <c r="A4" s="50"/>
      <c r="B4" s="51"/>
      <c r="C4" s="4" t="s">
        <v>53</v>
      </c>
      <c r="D4" s="4" t="s">
        <v>54</v>
      </c>
      <c r="E4" s="51">
        <v>2310</v>
      </c>
      <c r="F4" s="5">
        <v>1.35</v>
      </c>
      <c r="G4" s="5">
        <f>(E4*F4)</f>
        <v>3118.5</v>
      </c>
      <c r="H4" s="5"/>
      <c r="I4" s="50" t="s">
        <v>55</v>
      </c>
      <c r="J4" s="5">
        <v>2.2999999999999998</v>
      </c>
      <c r="K4" s="20" t="s">
        <v>56</v>
      </c>
      <c r="L4" s="51">
        <v>1</v>
      </c>
      <c r="M4" s="20" t="s">
        <v>57</v>
      </c>
      <c r="N4" s="5">
        <v>0.04</v>
      </c>
      <c r="O4" s="13"/>
      <c r="P4" s="13"/>
      <c r="Q4" s="50" t="s">
        <v>58</v>
      </c>
      <c r="R4" s="51">
        <v>700</v>
      </c>
    </row>
    <row r="5" spans="1:18" ht="18.75" customHeight="1" x14ac:dyDescent="0.3">
      <c r="A5" s="50"/>
      <c r="B5" s="51"/>
      <c r="C5" s="4" t="s">
        <v>59</v>
      </c>
      <c r="D5" s="4" t="s">
        <v>60</v>
      </c>
      <c r="E5" s="51">
        <v>115</v>
      </c>
      <c r="F5" s="51">
        <v>7</v>
      </c>
      <c r="G5" s="51">
        <f>(E5*F5)</f>
        <v>805</v>
      </c>
      <c r="H5" s="5"/>
      <c r="I5" s="50" t="s">
        <v>61</v>
      </c>
      <c r="J5" s="5">
        <v>2.2000000000000002</v>
      </c>
      <c r="K5" s="20" t="s">
        <v>62</v>
      </c>
      <c r="L5" s="51">
        <v>3</v>
      </c>
      <c r="M5" s="20" t="s">
        <v>63</v>
      </c>
      <c r="N5" s="51">
        <v>11000</v>
      </c>
      <c r="O5" s="13"/>
      <c r="P5" s="13"/>
      <c r="Q5" s="50" t="s">
        <v>64</v>
      </c>
      <c r="R5" s="51">
        <v>300</v>
      </c>
    </row>
    <row r="6" spans="1:18" ht="18.75" customHeight="1" x14ac:dyDescent="0.3">
      <c r="A6" s="50"/>
      <c r="B6" s="184"/>
      <c r="C6" s="52" t="s">
        <v>65</v>
      </c>
      <c r="D6" s="186" t="s">
        <v>66</v>
      </c>
      <c r="E6" s="188">
        <v>6000</v>
      </c>
      <c r="F6" s="189">
        <v>0.25</v>
      </c>
      <c r="G6" s="188">
        <f>(E6*F6)</f>
        <v>1500</v>
      </c>
      <c r="H6" s="5"/>
      <c r="I6" s="50" t="s">
        <v>67</v>
      </c>
      <c r="J6" s="51">
        <v>4</v>
      </c>
      <c r="K6" s="20" t="s">
        <v>68</v>
      </c>
      <c r="L6" s="51">
        <v>5</v>
      </c>
      <c r="M6" s="20" t="s">
        <v>69</v>
      </c>
      <c r="N6" s="51">
        <v>5500</v>
      </c>
      <c r="O6" s="13"/>
      <c r="P6" s="13"/>
      <c r="Q6" s="50" t="s">
        <v>70</v>
      </c>
      <c r="R6" s="51">
        <v>250</v>
      </c>
    </row>
    <row r="7" spans="1:18" ht="18.75" customHeight="1" x14ac:dyDescent="0.3">
      <c r="A7" s="50"/>
      <c r="B7" s="185"/>
      <c r="C7" s="53" t="s">
        <v>71</v>
      </c>
      <c r="D7" s="187"/>
      <c r="E7" s="183"/>
      <c r="F7" s="183"/>
      <c r="G7" s="183"/>
      <c r="H7" s="5"/>
      <c r="I7" s="50" t="s">
        <v>72</v>
      </c>
      <c r="J7" s="51">
        <v>300</v>
      </c>
      <c r="K7" s="20" t="s">
        <v>73</v>
      </c>
      <c r="L7" s="51">
        <v>1600</v>
      </c>
      <c r="M7" s="13"/>
      <c r="N7" s="13"/>
      <c r="O7" s="13"/>
      <c r="P7" s="13"/>
      <c r="Q7" s="50" t="s">
        <v>74</v>
      </c>
      <c r="R7" s="51">
        <v>500</v>
      </c>
    </row>
    <row r="8" spans="1:18" ht="18.75" customHeight="1" x14ac:dyDescent="0.3">
      <c r="A8" s="50"/>
      <c r="B8" s="51"/>
      <c r="C8" s="4" t="s">
        <v>75</v>
      </c>
      <c r="D8" s="4" t="s">
        <v>66</v>
      </c>
      <c r="E8" s="51">
        <v>6500</v>
      </c>
      <c r="F8" s="5">
        <v>0.25</v>
      </c>
      <c r="G8" s="51">
        <f>(E8*F8)</f>
        <v>1625</v>
      </c>
      <c r="H8" s="5"/>
      <c r="I8" s="50"/>
      <c r="J8" s="13"/>
      <c r="K8" s="13"/>
      <c r="L8" s="13"/>
      <c r="M8" s="13"/>
      <c r="N8" s="13"/>
      <c r="O8" s="13"/>
      <c r="P8" s="13"/>
      <c r="Q8" s="50" t="s">
        <v>76</v>
      </c>
      <c r="R8" s="51">
        <v>700</v>
      </c>
    </row>
    <row r="9" spans="1:18" ht="18.75" customHeight="1" x14ac:dyDescent="0.3">
      <c r="A9" s="50"/>
      <c r="B9" s="51"/>
      <c r="C9" s="4" t="s">
        <v>77</v>
      </c>
      <c r="D9" s="4"/>
      <c r="E9" s="51">
        <v>275</v>
      </c>
      <c r="F9" s="51">
        <v>1</v>
      </c>
      <c r="G9" s="51">
        <f>(E9*F9)</f>
        <v>275</v>
      </c>
      <c r="H9" s="5"/>
      <c r="I9" s="4" t="s">
        <v>78</v>
      </c>
      <c r="J9" s="51">
        <v>1</v>
      </c>
      <c r="K9" s="13"/>
      <c r="L9" s="13"/>
      <c r="M9" s="13"/>
      <c r="N9" s="13"/>
      <c r="O9" s="13"/>
      <c r="P9" s="13"/>
      <c r="Q9" s="50" t="s">
        <v>79</v>
      </c>
      <c r="R9" s="51">
        <v>500</v>
      </c>
    </row>
    <row r="10" spans="1:18" ht="18.75" customHeight="1" x14ac:dyDescent="0.3">
      <c r="A10" s="50"/>
      <c r="B10" s="51"/>
      <c r="C10" s="4" t="s">
        <v>80</v>
      </c>
      <c r="D10" s="4"/>
      <c r="E10" s="51">
        <v>300</v>
      </c>
      <c r="F10" s="51">
        <v>1</v>
      </c>
      <c r="G10" s="51">
        <f>(E10*F10)</f>
        <v>300</v>
      </c>
      <c r="H10" s="5"/>
      <c r="I10" s="4" t="s">
        <v>81</v>
      </c>
      <c r="J10" s="51">
        <v>6400</v>
      </c>
      <c r="K10" s="13"/>
      <c r="L10" s="13"/>
      <c r="M10" s="13"/>
      <c r="N10" s="13"/>
      <c r="O10" s="13"/>
      <c r="P10" s="13"/>
      <c r="Q10" s="50" t="s">
        <v>82</v>
      </c>
      <c r="R10" s="51">
        <v>500</v>
      </c>
    </row>
    <row r="11" spans="1:18" ht="18.75" customHeight="1" x14ac:dyDescent="0.3">
      <c r="A11" s="50"/>
      <c r="B11" s="51"/>
      <c r="C11" s="4" t="s">
        <v>83</v>
      </c>
      <c r="D11" s="4" t="s">
        <v>66</v>
      </c>
      <c r="E11" s="5"/>
      <c r="F11" s="5"/>
      <c r="G11" s="51">
        <v>2700</v>
      </c>
      <c r="H11" s="5"/>
      <c r="I11" s="4" t="s">
        <v>84</v>
      </c>
      <c r="J11" s="51">
        <v>4600</v>
      </c>
      <c r="K11" s="13"/>
      <c r="L11" s="13"/>
      <c r="M11" s="13"/>
      <c r="N11" s="13"/>
      <c r="O11" s="13"/>
      <c r="P11" s="13"/>
      <c r="Q11" s="50" t="s">
        <v>74</v>
      </c>
      <c r="R11" s="51"/>
    </row>
    <row r="12" spans="1:18" ht="18.75" customHeight="1" x14ac:dyDescent="0.3">
      <c r="A12" s="50"/>
      <c r="B12" s="7"/>
      <c r="C12" s="54" t="s">
        <v>85</v>
      </c>
      <c r="D12" s="54"/>
      <c r="E12" s="15">
        <v>1300</v>
      </c>
      <c r="F12" s="15">
        <v>1</v>
      </c>
      <c r="G12" s="15">
        <f>(E12*F12)</f>
        <v>1300</v>
      </c>
      <c r="H12" s="55">
        <f>SUM(G3:G11)</f>
        <v>15763.5</v>
      </c>
      <c r="I12" s="4" t="s">
        <v>86</v>
      </c>
      <c r="J12" s="51">
        <v>2650</v>
      </c>
      <c r="K12" s="13"/>
      <c r="L12" s="13"/>
      <c r="M12" s="13"/>
      <c r="N12" s="13"/>
      <c r="O12" s="13"/>
      <c r="P12" s="13"/>
      <c r="Q12" s="50" t="s">
        <v>74</v>
      </c>
      <c r="R12" s="51"/>
    </row>
    <row r="13" spans="1:18" ht="18.75" customHeight="1" x14ac:dyDescent="0.3">
      <c r="A13" s="50"/>
      <c r="B13" s="51"/>
      <c r="C13" s="4" t="s">
        <v>87</v>
      </c>
      <c r="D13" s="4" t="s">
        <v>88</v>
      </c>
      <c r="E13" s="56">
        <f>N1+N2+( N3*(E8*1.5))+( N4*E4)</f>
        <v>960.65</v>
      </c>
      <c r="F13" s="56">
        <f>J6*(J1+J2)*B2+1.5</f>
        <v>69.5</v>
      </c>
      <c r="G13" s="5">
        <f>(F13*E13)/B1</f>
        <v>667.65174999999999</v>
      </c>
      <c r="H13" s="56"/>
      <c r="I13" s="4" t="s">
        <v>89</v>
      </c>
      <c r="J13" s="51">
        <v>1500</v>
      </c>
      <c r="K13" s="13"/>
      <c r="L13" s="13"/>
      <c r="M13" s="13"/>
      <c r="N13" s="13"/>
      <c r="O13" s="13"/>
      <c r="P13" s="13"/>
      <c r="Q13" s="50" t="s">
        <v>74</v>
      </c>
      <c r="R13" s="51"/>
    </row>
    <row r="14" spans="1:18" ht="18.75" customHeight="1" x14ac:dyDescent="0.3">
      <c r="A14" s="50"/>
      <c r="B14" s="51"/>
      <c r="C14" s="4" t="s">
        <v>90</v>
      </c>
      <c r="D14" s="4" t="s">
        <v>88</v>
      </c>
      <c r="E14" s="56">
        <f>((J12+J13)*7)+(J14+J15)*4+(L7/3)+(R4*8)</f>
        <v>41183.333333333336</v>
      </c>
      <c r="F14" s="56"/>
      <c r="G14" s="57">
        <f>E14/B1</f>
        <v>411.83333333333337</v>
      </c>
      <c r="H14" s="58">
        <f>SUM(G3:G14)</f>
        <v>18142.985083333333</v>
      </c>
      <c r="I14" s="4" t="s">
        <v>91</v>
      </c>
      <c r="J14" s="51">
        <v>800</v>
      </c>
      <c r="K14" s="13"/>
      <c r="L14" s="13"/>
      <c r="M14" s="13"/>
      <c r="N14" s="13"/>
      <c r="O14" s="13"/>
      <c r="P14" s="13"/>
      <c r="Q14" s="50" t="s">
        <v>92</v>
      </c>
      <c r="R14" s="51">
        <v>700</v>
      </c>
    </row>
    <row r="15" spans="1:18" ht="18.75" customHeight="1" x14ac:dyDescent="0.3">
      <c r="A15" s="50"/>
      <c r="B15" s="51"/>
      <c r="C15" s="4" t="s">
        <v>93</v>
      </c>
      <c r="D15" s="4"/>
      <c r="E15" s="13">
        <v>0</v>
      </c>
      <c r="F15" s="56"/>
      <c r="G15" s="13">
        <v>0</v>
      </c>
      <c r="H15" s="56"/>
      <c r="I15" s="4" t="s">
        <v>94</v>
      </c>
      <c r="J15" s="51">
        <v>700</v>
      </c>
      <c r="K15" s="13"/>
      <c r="L15" s="13"/>
      <c r="M15" s="13"/>
      <c r="N15" s="13"/>
      <c r="O15" s="13"/>
      <c r="P15" s="13"/>
      <c r="Q15" s="50"/>
      <c r="R15" s="13"/>
    </row>
    <row r="16" spans="1:18" ht="18.75" customHeight="1" x14ac:dyDescent="0.3">
      <c r="A16" s="50"/>
      <c r="B16" s="51"/>
      <c r="C16" s="4" t="s">
        <v>95</v>
      </c>
      <c r="D16" s="4"/>
      <c r="E16" s="13">
        <f>(SQRT(B1)*4)*(10*E5+R6)+E4+E4+(0.25*N6 )</f>
        <v>61995</v>
      </c>
      <c r="F16" s="56"/>
      <c r="G16" s="56">
        <f>E14/B1</f>
        <v>411.83333333333337</v>
      </c>
      <c r="H16" s="56"/>
      <c r="I16" s="4" t="s">
        <v>96</v>
      </c>
      <c r="J16" s="51">
        <v>1000</v>
      </c>
      <c r="K16" s="13"/>
      <c r="L16" s="13"/>
      <c r="M16" s="13"/>
      <c r="N16" s="13"/>
      <c r="O16" s="13"/>
      <c r="P16" s="13"/>
      <c r="Q16" s="50"/>
      <c r="R16" s="13"/>
    </row>
    <row r="17" spans="1:18" ht="18.75" customHeight="1" x14ac:dyDescent="0.3">
      <c r="A17" s="50"/>
      <c r="B17" s="51"/>
      <c r="C17" s="4" t="s">
        <v>97</v>
      </c>
      <c r="D17" s="4"/>
      <c r="E17" s="56">
        <f>(SQRT(B1)*3*3.5*R14)+(SQRT(B1)*3*3.5*0.015*9*E4)+(SQRT(B1)*3*3.5*0.015*9*N5)</f>
        <v>262169.25</v>
      </c>
      <c r="F17" s="56"/>
      <c r="G17" s="56">
        <f>E17/B1</f>
        <v>2621.6925000000001</v>
      </c>
      <c r="H17" s="56"/>
      <c r="I17" s="4" t="s">
        <v>98</v>
      </c>
      <c r="J17" s="51"/>
      <c r="K17" s="13"/>
      <c r="L17" s="13"/>
      <c r="M17" s="13"/>
      <c r="N17" s="13"/>
      <c r="O17" s="13"/>
      <c r="P17" s="13"/>
      <c r="Q17" s="50"/>
      <c r="R17" s="13"/>
    </row>
    <row r="18" spans="1:18" ht="18.75" customHeight="1" x14ac:dyDescent="0.3">
      <c r="A18" s="50"/>
      <c r="B18" s="51"/>
      <c r="C18" s="4" t="s">
        <v>99</v>
      </c>
      <c r="D18" s="4"/>
      <c r="E18" s="56">
        <f>(SQRT(B1)*4*3.25*R6)+((SQRT(B1)*3*3.25)/0.08)*J20+((SQRT(B1)*3*3.25)/0.08)/(80)*E4+((SQRT(B1)*3*3.25)/0.08)/(80)*0.2*N6</f>
        <v>206324.21875</v>
      </c>
      <c r="F18" s="56"/>
      <c r="G18" s="56">
        <f>E18/B1</f>
        <v>2063.2421875</v>
      </c>
      <c r="H18" s="56"/>
      <c r="I18" s="4"/>
      <c r="J18" s="51"/>
      <c r="K18" s="13"/>
      <c r="L18" s="13"/>
      <c r="M18" s="13"/>
      <c r="N18" s="13"/>
      <c r="O18" s="13"/>
      <c r="P18" s="13"/>
      <c r="Q18" s="50"/>
      <c r="R18" s="13"/>
    </row>
    <row r="19" spans="1:18" ht="18.75" customHeight="1" x14ac:dyDescent="0.3">
      <c r="A19" s="50"/>
      <c r="B19" s="51"/>
      <c r="C19" s="4" t="s">
        <v>100</v>
      </c>
      <c r="D19" s="4"/>
      <c r="E19" s="13">
        <v>40000</v>
      </c>
      <c r="F19" s="56"/>
      <c r="G19" s="13">
        <f>E19/B1</f>
        <v>400</v>
      </c>
      <c r="H19" s="56"/>
      <c r="I19" s="4" t="s">
        <v>101</v>
      </c>
      <c r="J19" s="51">
        <v>95</v>
      </c>
      <c r="K19" s="13"/>
      <c r="L19" s="13"/>
      <c r="M19" s="13"/>
      <c r="N19" s="13"/>
      <c r="O19" s="13"/>
      <c r="P19" s="13"/>
      <c r="Q19" s="50"/>
      <c r="R19" s="13"/>
    </row>
    <row r="20" spans="1:18" ht="18.75" customHeight="1" x14ac:dyDescent="0.3">
      <c r="A20" s="50"/>
      <c r="B20" s="51"/>
      <c r="C20" s="4" t="s">
        <v>102</v>
      </c>
      <c r="D20" s="4"/>
      <c r="E20" s="13">
        <f>((((B1/8)*4)/L6)+( 0.5))*(7*E4+1.3*E8+E6+E3*70)</f>
        <v>556710</v>
      </c>
      <c r="F20" s="56"/>
      <c r="G20" s="56">
        <f>E20/B1</f>
        <v>5567.1</v>
      </c>
      <c r="H20" s="56"/>
      <c r="I20" s="4" t="s">
        <v>103</v>
      </c>
      <c r="J20" s="51">
        <v>100</v>
      </c>
      <c r="K20" s="13"/>
      <c r="L20" s="13"/>
      <c r="M20" s="13">
        <f>((B1/8)*6)/L6</f>
        <v>15</v>
      </c>
      <c r="N20" s="13"/>
      <c r="O20" s="13"/>
      <c r="P20" s="13"/>
      <c r="Q20" s="50"/>
      <c r="R20" s="13"/>
    </row>
    <row r="21" spans="1:18" ht="18.75" customHeight="1" x14ac:dyDescent="0.3">
      <c r="A21" s="50"/>
      <c r="B21" s="51"/>
      <c r="C21" s="4" t="s">
        <v>104</v>
      </c>
      <c r="D21" s="4"/>
      <c r="E21" s="56"/>
      <c r="F21" s="56"/>
      <c r="G21" s="13">
        <v>250</v>
      </c>
      <c r="H21" s="56"/>
      <c r="I21" s="4" t="s">
        <v>105</v>
      </c>
      <c r="J21" s="51">
        <v>14000</v>
      </c>
      <c r="K21" s="13"/>
      <c r="L21" s="13"/>
      <c r="M21" s="13"/>
      <c r="N21" s="13"/>
      <c r="O21" s="13"/>
      <c r="P21" s="13"/>
      <c r="Q21" s="50"/>
      <c r="R21" s="13"/>
    </row>
    <row r="22" spans="1:18" ht="18.75" customHeight="1" x14ac:dyDescent="0.3">
      <c r="A22" s="50"/>
      <c r="B22" s="51"/>
      <c r="C22" s="4" t="s">
        <v>106</v>
      </c>
      <c r="D22" s="4" t="s">
        <v>66</v>
      </c>
      <c r="E22" s="56">
        <f>400000/(L5*L6)</f>
        <v>26666.666666666668</v>
      </c>
      <c r="F22" s="56"/>
      <c r="G22" s="56">
        <f>E22/B1</f>
        <v>266.66666666666669</v>
      </c>
      <c r="H22" s="56"/>
      <c r="I22" s="4" t="s">
        <v>107</v>
      </c>
      <c r="J22" s="51">
        <v>7000</v>
      </c>
      <c r="K22" s="13"/>
      <c r="L22" s="13"/>
      <c r="M22" s="13"/>
      <c r="N22" s="13"/>
      <c r="O22" s="13"/>
      <c r="P22" s="13"/>
      <c r="Q22" s="50"/>
      <c r="R22" s="13"/>
    </row>
    <row r="23" spans="1:18" ht="18.75" customHeight="1" x14ac:dyDescent="0.3">
      <c r="A23" s="50"/>
      <c r="B23" s="51"/>
      <c r="C23" s="4" t="s">
        <v>108</v>
      </c>
      <c r="D23" s="4"/>
      <c r="E23" s="56"/>
      <c r="F23" s="56"/>
      <c r="G23" s="13">
        <v>2000</v>
      </c>
      <c r="H23" s="56"/>
      <c r="I23" s="50"/>
      <c r="J23" s="13"/>
      <c r="K23" s="13"/>
      <c r="L23" s="13"/>
      <c r="M23" s="13"/>
      <c r="N23" s="13"/>
      <c r="O23" s="13"/>
      <c r="P23" s="13"/>
      <c r="Q23" s="50"/>
      <c r="R23" s="13"/>
    </row>
    <row r="24" spans="1:18" ht="18.75" customHeight="1" x14ac:dyDescent="0.3">
      <c r="A24" s="50"/>
      <c r="B24" s="13"/>
      <c r="C24" s="50"/>
      <c r="D24" s="4"/>
      <c r="E24" s="56"/>
      <c r="F24" s="56"/>
      <c r="G24" s="56">
        <f>SUM(G3:G23)</f>
        <v>31723.519770833333</v>
      </c>
      <c r="H24" s="56"/>
      <c r="I24" s="50"/>
      <c r="J24" s="13"/>
      <c r="K24" s="13"/>
      <c r="L24" s="13"/>
      <c r="M24" s="13"/>
      <c r="N24" s="13"/>
      <c r="O24" s="13"/>
      <c r="P24" s="13"/>
      <c r="Q24" s="50"/>
      <c r="R24" s="13"/>
    </row>
    <row r="25" spans="1:18" ht="18.75" customHeight="1" x14ac:dyDescent="0.3">
      <c r="A25" s="50"/>
      <c r="B25" s="13"/>
      <c r="C25" s="4" t="s">
        <v>109</v>
      </c>
      <c r="D25" s="4"/>
      <c r="E25" s="56"/>
      <c r="F25" s="56"/>
      <c r="G25" s="56">
        <f>G24*1.3</f>
        <v>41240.575702083333</v>
      </c>
      <c r="H25" s="56"/>
      <c r="I25" s="50"/>
      <c r="J25" s="13"/>
      <c r="K25" s="13"/>
      <c r="L25" s="13"/>
      <c r="M25" s="13"/>
      <c r="N25" s="13"/>
      <c r="O25" s="13"/>
      <c r="P25" s="13"/>
      <c r="Q25" s="50"/>
      <c r="R25" s="13"/>
    </row>
    <row r="26" spans="1:18" ht="18.75" customHeight="1" x14ac:dyDescent="0.3">
      <c r="A26" s="50"/>
      <c r="B26" s="13"/>
      <c r="C26" s="4" t="s">
        <v>110</v>
      </c>
      <c r="D26" s="4"/>
      <c r="E26" s="56"/>
      <c r="F26" s="56"/>
      <c r="G26" s="56">
        <f>G25*1.06</f>
        <v>43715.010244208337</v>
      </c>
      <c r="H26" s="56"/>
      <c r="I26" s="50"/>
      <c r="J26" s="13"/>
      <c r="K26" s="13"/>
      <c r="L26" s="13"/>
      <c r="M26" s="13"/>
      <c r="N26" s="13"/>
      <c r="O26" s="13"/>
      <c r="P26" s="13"/>
      <c r="Q26" s="50"/>
      <c r="R26" s="13"/>
    </row>
    <row r="27" spans="1:18" ht="18.75" customHeight="1" x14ac:dyDescent="0.3">
      <c r="A27" s="50"/>
      <c r="B27" s="13"/>
      <c r="C27" s="4" t="s">
        <v>111</v>
      </c>
      <c r="D27" s="4"/>
      <c r="E27" s="56"/>
      <c r="F27" s="56"/>
      <c r="G27" s="56">
        <f>G26*1.06</f>
        <v>46337.910858860836</v>
      </c>
      <c r="H27" s="56"/>
      <c r="I27" s="50" t="s">
        <v>112</v>
      </c>
      <c r="J27" s="51" t="s">
        <v>113</v>
      </c>
      <c r="K27" s="51" t="s">
        <v>114</v>
      </c>
      <c r="L27" s="51" t="s">
        <v>115</v>
      </c>
      <c r="M27" s="51">
        <v>1</v>
      </c>
      <c r="N27" s="51">
        <v>2</v>
      </c>
      <c r="O27" s="51">
        <v>3</v>
      </c>
      <c r="P27" s="51">
        <v>4</v>
      </c>
      <c r="Q27" s="50"/>
      <c r="R27" s="13"/>
    </row>
    <row r="28" spans="1:18" ht="18.75" customHeight="1" x14ac:dyDescent="0.3">
      <c r="A28" s="50"/>
      <c r="B28" s="13"/>
      <c r="C28" s="50"/>
      <c r="D28" s="4"/>
      <c r="E28" s="56"/>
      <c r="F28" s="56"/>
      <c r="G28" s="56"/>
      <c r="H28" s="56"/>
      <c r="I28" s="50" t="s">
        <v>43</v>
      </c>
      <c r="J28" s="51">
        <v>7</v>
      </c>
      <c r="K28" s="51">
        <v>6</v>
      </c>
      <c r="L28" s="51">
        <v>5</v>
      </c>
      <c r="M28" s="51">
        <v>4</v>
      </c>
      <c r="N28" s="51">
        <v>3</v>
      </c>
      <c r="O28" s="51">
        <v>2</v>
      </c>
      <c r="P28" s="51">
        <v>1</v>
      </c>
      <c r="Q28" s="50"/>
      <c r="R28" s="13"/>
    </row>
    <row r="29" spans="1:18" ht="18.75" customHeight="1" x14ac:dyDescent="0.3">
      <c r="A29" s="50"/>
      <c r="B29" s="13"/>
      <c r="C29" s="50"/>
      <c r="D29" s="4"/>
      <c r="E29" s="56"/>
      <c r="F29" s="56"/>
      <c r="G29" s="56"/>
      <c r="H29" s="56"/>
      <c r="I29" s="50"/>
      <c r="J29" s="13"/>
      <c r="K29" s="13"/>
      <c r="L29" s="13"/>
      <c r="M29" s="13"/>
      <c r="N29" s="13"/>
      <c r="O29" s="13"/>
      <c r="P29" s="13"/>
      <c r="Q29" s="50"/>
      <c r="R29" s="13"/>
    </row>
    <row r="30" spans="1:18" ht="18.75" customHeight="1" x14ac:dyDescent="0.3">
      <c r="A30" s="50"/>
      <c r="B30" s="13"/>
      <c r="C30" s="50"/>
      <c r="D30" s="4"/>
      <c r="E30" s="56"/>
      <c r="F30" s="56"/>
      <c r="G30" s="56"/>
      <c r="H30" s="56"/>
      <c r="I30" s="50"/>
      <c r="J30" s="13"/>
      <c r="K30" s="13"/>
      <c r="L30" s="13"/>
      <c r="M30" s="13"/>
      <c r="N30" s="13"/>
      <c r="O30" s="13"/>
      <c r="P30" s="13"/>
      <c r="Q30" s="50"/>
      <c r="R30" s="13"/>
    </row>
  </sheetData>
  <mergeCells count="6">
    <mergeCell ref="E2:G2"/>
    <mergeCell ref="B6:B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41"/>
  <sheetViews>
    <sheetView workbookViewId="0"/>
  </sheetViews>
  <sheetFormatPr defaultRowHeight="14.4" x14ac:dyDescent="0.3"/>
  <cols>
    <col min="1" max="1" width="12.6640625" style="45" bestFit="1" customWidth="1"/>
    <col min="2" max="2" width="9.88671875" style="46" bestFit="1" customWidth="1"/>
    <col min="3" max="3" width="13.5546875" style="46" bestFit="1" customWidth="1"/>
    <col min="4" max="4" width="5.109375" style="45" bestFit="1" customWidth="1"/>
    <col min="5" max="5" width="10.109375" style="46" bestFit="1" customWidth="1"/>
    <col min="6" max="6" width="10.33203125" style="45" bestFit="1" customWidth="1"/>
    <col min="7" max="7" width="9.33203125" style="45" bestFit="1" customWidth="1"/>
    <col min="8" max="8" width="14.33203125" style="47" bestFit="1" customWidth="1"/>
    <col min="9" max="9" width="9.6640625" style="48" bestFit="1" customWidth="1"/>
    <col min="10" max="10" width="9" style="49" bestFit="1" customWidth="1"/>
  </cols>
  <sheetData>
    <row r="1" spans="1:10" ht="18.75" customHeight="1" x14ac:dyDescent="0.35">
      <c r="A1" s="190" t="s">
        <v>0</v>
      </c>
      <c r="B1" s="191"/>
      <c r="C1" s="1"/>
      <c r="D1" s="2"/>
      <c r="E1" s="1"/>
      <c r="F1" s="2"/>
      <c r="G1" s="2"/>
      <c r="H1" s="3" t="s">
        <v>1</v>
      </c>
      <c r="I1" s="4"/>
      <c r="J1" s="5"/>
    </row>
    <row r="2" spans="1:10" ht="18.75" customHeight="1" x14ac:dyDescent="0.3">
      <c r="A2" s="192" t="s">
        <v>2</v>
      </c>
      <c r="B2" s="193"/>
      <c r="C2" s="193"/>
      <c r="D2" s="194"/>
      <c r="E2" s="193"/>
      <c r="F2" s="194"/>
      <c r="G2" s="194"/>
      <c r="H2" s="193"/>
      <c r="I2" s="195" t="s">
        <v>3</v>
      </c>
      <c r="J2" s="196"/>
    </row>
    <row r="3" spans="1:10" ht="18.75" customHeight="1" x14ac:dyDescent="0.3">
      <c r="A3" s="6"/>
      <c r="B3" s="182" t="s">
        <v>4</v>
      </c>
      <c r="C3" s="182"/>
      <c r="D3" s="6"/>
      <c r="E3" s="8" t="s">
        <v>5</v>
      </c>
      <c r="F3" s="9"/>
      <c r="G3" s="9"/>
      <c r="H3" s="10">
        <f>ورقة1!E17</f>
        <v>44381</v>
      </c>
      <c r="I3" s="11" t="s">
        <v>6</v>
      </c>
      <c r="J3" s="12">
        <f>ورقة1!N4</f>
        <v>4225</v>
      </c>
    </row>
    <row r="4" spans="1:10" ht="18.75" customHeight="1" x14ac:dyDescent="0.3">
      <c r="A4" s="6"/>
      <c r="B4" s="13"/>
      <c r="C4" s="13"/>
      <c r="D4" s="6"/>
      <c r="E4" s="8" t="s">
        <v>7</v>
      </c>
      <c r="F4" s="9"/>
      <c r="G4" s="9"/>
      <c r="H4" s="10">
        <f>H3</f>
        <v>44381</v>
      </c>
      <c r="I4" s="14" t="s">
        <v>8</v>
      </c>
      <c r="J4" s="12">
        <f>ورقة1!N5</f>
        <v>11500</v>
      </c>
    </row>
    <row r="5" spans="1:10" ht="18.75" customHeight="1" x14ac:dyDescent="0.3">
      <c r="A5" s="9" t="s">
        <v>9</v>
      </c>
      <c r="B5" s="8"/>
      <c r="C5" s="15">
        <v>10</v>
      </c>
      <c r="D5" s="6"/>
      <c r="E5" s="8" t="s">
        <v>10</v>
      </c>
      <c r="F5" s="9"/>
      <c r="G5" s="9"/>
      <c r="H5" s="10">
        <f>H4</f>
        <v>44381</v>
      </c>
      <c r="I5" s="16" t="s">
        <v>11</v>
      </c>
      <c r="J5" s="17">
        <f>ورقة1!N6</f>
        <v>900</v>
      </c>
    </row>
    <row r="6" spans="1:10" ht="18.75" customHeight="1" x14ac:dyDescent="0.3">
      <c r="A6" s="9" t="s">
        <v>12</v>
      </c>
      <c r="B6" s="8"/>
      <c r="C6" s="18" t="s">
        <v>13</v>
      </c>
      <c r="D6" s="6"/>
      <c r="E6" s="13"/>
      <c r="F6" s="6"/>
      <c r="G6" s="6"/>
      <c r="H6" s="13"/>
      <c r="I6" s="14" t="s">
        <v>14</v>
      </c>
      <c r="J6" s="12">
        <f>ورقة1!N7</f>
        <v>27000</v>
      </c>
    </row>
    <row r="7" spans="1:10" ht="18.75" customHeight="1" x14ac:dyDescent="0.3">
      <c r="A7" s="9" t="s">
        <v>15</v>
      </c>
      <c r="B7" s="8"/>
      <c r="C7" s="19">
        <v>220</v>
      </c>
      <c r="D7" s="6"/>
      <c r="E7" s="13"/>
      <c r="F7" s="6"/>
      <c r="G7" s="6"/>
      <c r="H7" s="13"/>
      <c r="I7" s="16" t="s">
        <v>16</v>
      </c>
      <c r="J7" s="17">
        <f>ورقة1!N9</f>
        <v>50000</v>
      </c>
    </row>
    <row r="8" spans="1:10" ht="18.75" customHeight="1" x14ac:dyDescent="0.3">
      <c r="A8" s="9" t="s">
        <v>17</v>
      </c>
      <c r="B8" s="8"/>
      <c r="C8" s="15">
        <f>ورقة1!H47</f>
        <v>295000</v>
      </c>
      <c r="D8" s="6"/>
      <c r="E8" s="20" t="s">
        <v>18</v>
      </c>
      <c r="F8" s="6"/>
      <c r="G8" s="6"/>
      <c r="H8" s="13"/>
      <c r="I8" s="14" t="s">
        <v>19</v>
      </c>
      <c r="J8" s="12">
        <f>ورقة1!N10</f>
        <v>13000</v>
      </c>
    </row>
    <row r="9" spans="1:10" ht="18.75" customHeight="1" x14ac:dyDescent="0.3">
      <c r="A9" s="6"/>
      <c r="B9" s="13"/>
      <c r="C9" s="13"/>
      <c r="D9" s="6"/>
      <c r="E9" s="197" t="s">
        <v>20</v>
      </c>
      <c r="F9" s="198"/>
      <c r="G9" s="198"/>
      <c r="H9" s="13"/>
      <c r="I9" s="16" t="s">
        <v>21</v>
      </c>
      <c r="J9" s="21">
        <f>ورقة1!G17</f>
        <v>0.11130899376669635</v>
      </c>
    </row>
    <row r="10" spans="1:10" ht="18.75" customHeight="1" x14ac:dyDescent="0.3">
      <c r="A10" s="199" t="s">
        <v>22</v>
      </c>
      <c r="B10" s="197"/>
      <c r="C10" s="197" t="s">
        <v>23</v>
      </c>
      <c r="D10" s="198"/>
      <c r="E10" s="22"/>
      <c r="F10" s="23"/>
      <c r="G10" s="23"/>
      <c r="H10" s="24" t="s">
        <v>24</v>
      </c>
      <c r="I10" s="200" t="s">
        <v>25</v>
      </c>
      <c r="J10" s="202">
        <f>ورقة1!H49</f>
        <v>1.730775755076265</v>
      </c>
    </row>
    <row r="11" spans="1:10" ht="18.75" customHeight="1" x14ac:dyDescent="0.3">
      <c r="A11" s="198"/>
      <c r="B11" s="197"/>
      <c r="C11" s="197">
        <v>25000</v>
      </c>
      <c r="D11" s="198"/>
      <c r="E11" s="25">
        <v>0</v>
      </c>
      <c r="F11" s="26"/>
      <c r="G11" s="26"/>
      <c r="H11" s="27">
        <f>C11+D11+E11</f>
        <v>25000</v>
      </c>
      <c r="I11" s="201"/>
      <c r="J11" s="203"/>
    </row>
    <row r="12" spans="1:10" ht="18.75" customHeight="1" x14ac:dyDescent="0.3">
      <c r="A12" s="9" t="s">
        <v>26</v>
      </c>
      <c r="B12" s="15">
        <f>C5</f>
        <v>10</v>
      </c>
      <c r="C12" s="13"/>
      <c r="D12" s="6"/>
      <c r="E12" s="20" t="s">
        <v>27</v>
      </c>
      <c r="F12" s="6"/>
      <c r="G12" s="6"/>
      <c r="H12" s="13"/>
      <c r="I12" s="4"/>
      <c r="J12" s="5"/>
    </row>
    <row r="13" spans="1:10" ht="18.75" customHeight="1" x14ac:dyDescent="0.3">
      <c r="A13" s="9" t="s">
        <v>28</v>
      </c>
      <c r="B13" s="15">
        <f>ورقة1!F3-C5</f>
        <v>110</v>
      </c>
      <c r="C13" s="13"/>
      <c r="D13" s="6"/>
      <c r="E13" s="8" t="s">
        <v>29</v>
      </c>
      <c r="F13" s="9"/>
      <c r="G13" s="9"/>
      <c r="H13" s="28" t="s">
        <v>30</v>
      </c>
      <c r="I13" s="4"/>
      <c r="J13" s="5"/>
    </row>
    <row r="14" spans="1:10" ht="18.75" customHeight="1" x14ac:dyDescent="0.3">
      <c r="A14" s="6"/>
      <c r="B14" s="13"/>
      <c r="C14" s="13"/>
      <c r="D14" s="6"/>
      <c r="E14" s="13"/>
      <c r="F14" s="6"/>
      <c r="G14" s="6"/>
      <c r="H14" s="13"/>
      <c r="I14" s="4"/>
      <c r="J14" s="5"/>
    </row>
    <row r="15" spans="1:10" ht="18.75" customHeight="1" x14ac:dyDescent="0.3">
      <c r="A15" s="6"/>
      <c r="B15" s="13"/>
      <c r="C15" s="13"/>
      <c r="D15" s="6"/>
      <c r="E15" s="13"/>
      <c r="F15" s="6"/>
      <c r="G15" s="6"/>
      <c r="H15" s="13"/>
      <c r="I15" s="4"/>
      <c r="J15" s="5"/>
    </row>
    <row r="16" spans="1:10" ht="18.75" customHeight="1" x14ac:dyDescent="0.3">
      <c r="A16" s="6"/>
      <c r="B16" s="13"/>
      <c r="C16" s="13"/>
      <c r="D16" s="6"/>
      <c r="E16" s="13"/>
      <c r="F16" s="6"/>
      <c r="G16" s="6"/>
      <c r="H16" s="13"/>
      <c r="I16" s="4"/>
      <c r="J16" s="5"/>
    </row>
    <row r="17" spans="1:10" ht="18.75" customHeight="1" x14ac:dyDescent="0.3">
      <c r="A17" s="6"/>
      <c r="B17" s="13"/>
      <c r="C17" s="13"/>
      <c r="D17" s="6"/>
      <c r="E17" s="13"/>
      <c r="F17" s="6"/>
      <c r="G17" s="6"/>
      <c r="H17" s="13"/>
      <c r="I17" s="4"/>
      <c r="J17" s="5"/>
    </row>
    <row r="18" spans="1:10" ht="18.75" customHeight="1" x14ac:dyDescent="0.3">
      <c r="A18" s="6"/>
      <c r="B18" s="13"/>
      <c r="C18" s="13"/>
      <c r="D18" s="6"/>
      <c r="E18" s="13"/>
      <c r="F18" s="6"/>
      <c r="G18" s="6"/>
      <c r="H18" s="13"/>
      <c r="I18" s="4"/>
      <c r="J18" s="5"/>
    </row>
    <row r="19" spans="1:10" ht="18.75" customHeight="1" x14ac:dyDescent="0.3">
      <c r="A19" s="6"/>
      <c r="B19" s="13"/>
      <c r="C19" s="13"/>
      <c r="D19" s="6"/>
      <c r="E19" s="13"/>
      <c r="F19" s="6"/>
      <c r="G19" s="6"/>
      <c r="H19" s="13"/>
      <c r="I19" s="4"/>
      <c r="J19" s="5"/>
    </row>
    <row r="20" spans="1:10" ht="18.75" customHeight="1" x14ac:dyDescent="0.3">
      <c r="A20" s="6"/>
      <c r="B20" s="13"/>
      <c r="C20" s="13"/>
      <c r="D20" s="6"/>
      <c r="E20" s="13"/>
      <c r="F20" s="6"/>
      <c r="G20" s="6"/>
      <c r="H20" s="13"/>
      <c r="I20" s="4"/>
      <c r="J20" s="5"/>
    </row>
    <row r="21" spans="1:10" ht="18.75" customHeight="1" x14ac:dyDescent="0.3">
      <c r="A21" s="6"/>
      <c r="B21" s="13"/>
      <c r="C21" s="13"/>
      <c r="D21" s="6"/>
      <c r="E21" s="13"/>
      <c r="F21" s="6"/>
      <c r="G21" s="6"/>
      <c r="H21" s="13"/>
      <c r="I21" s="4"/>
      <c r="J21" s="5"/>
    </row>
    <row r="22" spans="1:10" ht="18.75" customHeight="1" x14ac:dyDescent="0.3">
      <c r="A22" s="6"/>
      <c r="B22" s="13"/>
      <c r="C22" s="13"/>
      <c r="D22" s="6"/>
      <c r="E22" s="13"/>
      <c r="F22" s="6"/>
      <c r="G22" s="6"/>
      <c r="H22" s="13"/>
      <c r="I22" s="4"/>
      <c r="J22" s="5"/>
    </row>
    <row r="23" spans="1:10" ht="18.75" customHeight="1" x14ac:dyDescent="0.3">
      <c r="A23" s="6"/>
      <c r="B23" s="13"/>
      <c r="C23" s="13"/>
      <c r="D23" s="6"/>
      <c r="E23" s="13"/>
      <c r="F23" s="6"/>
      <c r="G23" s="6"/>
      <c r="H23" s="13"/>
      <c r="I23" s="4"/>
      <c r="J23" s="5"/>
    </row>
    <row r="24" spans="1:10" ht="18.75" customHeight="1" x14ac:dyDescent="0.3">
      <c r="A24" s="29"/>
      <c r="B24" s="30"/>
      <c r="C24" s="30"/>
      <c r="D24" s="29"/>
      <c r="E24" s="30"/>
      <c r="F24" s="29"/>
      <c r="G24" s="29"/>
      <c r="H24" s="30"/>
      <c r="I24" s="31"/>
      <c r="J24" s="32"/>
    </row>
    <row r="25" spans="1:10" ht="18.75" customHeight="1" x14ac:dyDescent="0.35">
      <c r="A25" s="190" t="s">
        <v>0</v>
      </c>
      <c r="B25" s="191"/>
      <c r="C25" s="1"/>
      <c r="D25" s="2"/>
      <c r="E25" s="1"/>
      <c r="F25" s="2"/>
      <c r="G25" s="2"/>
      <c r="H25" s="3" t="s">
        <v>31</v>
      </c>
      <c r="I25" s="4"/>
      <c r="J25" s="5"/>
    </row>
    <row r="26" spans="1:10" ht="18.75" customHeight="1" x14ac:dyDescent="0.3">
      <c r="A26" s="192" t="s">
        <v>2</v>
      </c>
      <c r="B26" s="193"/>
      <c r="C26" s="193"/>
      <c r="D26" s="194"/>
      <c r="E26" s="193"/>
      <c r="F26" s="194"/>
      <c r="G26" s="194"/>
      <c r="H26" s="193"/>
      <c r="I26" s="195" t="s">
        <v>3</v>
      </c>
      <c r="J26" s="196"/>
    </row>
    <row r="27" spans="1:10" ht="18.75" customHeight="1" x14ac:dyDescent="0.3">
      <c r="A27" s="6"/>
      <c r="B27" s="182" t="s">
        <v>4</v>
      </c>
      <c r="C27" s="182"/>
      <c r="D27" s="6"/>
      <c r="E27" s="8" t="s">
        <v>5</v>
      </c>
      <c r="F27" s="9"/>
      <c r="G27" s="9"/>
      <c r="H27" s="10">
        <f>H3</f>
        <v>44381</v>
      </c>
      <c r="I27" s="11" t="s">
        <v>6</v>
      </c>
      <c r="J27" s="33">
        <f t="shared" ref="J27:J34" si="0">J3</f>
        <v>4225</v>
      </c>
    </row>
    <row r="28" spans="1:10" ht="18.75" customHeight="1" x14ac:dyDescent="0.3">
      <c r="A28" s="6"/>
      <c r="B28" s="13"/>
      <c r="C28" s="13"/>
      <c r="D28" s="6"/>
      <c r="E28" s="8" t="s">
        <v>7</v>
      </c>
      <c r="F28" s="9"/>
      <c r="G28" s="9"/>
      <c r="H28" s="10">
        <f>H4</f>
        <v>44381</v>
      </c>
      <c r="I28" s="16" t="s">
        <v>8</v>
      </c>
      <c r="J28" s="34">
        <f t="shared" si="0"/>
        <v>11500</v>
      </c>
    </row>
    <row r="29" spans="1:10" ht="18.75" customHeight="1" x14ac:dyDescent="0.3">
      <c r="A29" s="9" t="s">
        <v>9</v>
      </c>
      <c r="B29" s="8"/>
      <c r="C29" s="15">
        <f>C5</f>
        <v>10</v>
      </c>
      <c r="D29" s="6"/>
      <c r="E29" s="8" t="s">
        <v>10</v>
      </c>
      <c r="F29" s="9"/>
      <c r="G29" s="9"/>
      <c r="H29" s="10">
        <f>H5</f>
        <v>44381</v>
      </c>
      <c r="I29" s="14" t="s">
        <v>11</v>
      </c>
      <c r="J29" s="33">
        <f t="shared" si="0"/>
        <v>900</v>
      </c>
    </row>
    <row r="30" spans="1:10" ht="18.75" customHeight="1" x14ac:dyDescent="0.3">
      <c r="A30" s="9" t="s">
        <v>12</v>
      </c>
      <c r="B30" s="8"/>
      <c r="C30" s="35" t="str">
        <f>C6</f>
        <v>يوشع ثابت عباس</v>
      </c>
      <c r="D30" s="6"/>
      <c r="E30" s="13"/>
      <c r="F30" s="6"/>
      <c r="G30" s="6"/>
      <c r="H30" s="13"/>
      <c r="I30" s="16" t="s">
        <v>14</v>
      </c>
      <c r="J30" s="34">
        <f t="shared" si="0"/>
        <v>27000</v>
      </c>
    </row>
    <row r="31" spans="1:10" ht="18.75" customHeight="1" x14ac:dyDescent="0.3">
      <c r="A31" s="9" t="s">
        <v>15</v>
      </c>
      <c r="B31" s="8"/>
      <c r="C31" s="19">
        <f>C7</f>
        <v>220</v>
      </c>
      <c r="D31" s="6"/>
      <c r="E31" s="13"/>
      <c r="F31" s="6"/>
      <c r="G31" s="6"/>
      <c r="H31" s="13"/>
      <c r="I31" s="14" t="s">
        <v>16</v>
      </c>
      <c r="J31" s="33">
        <f t="shared" si="0"/>
        <v>50000</v>
      </c>
    </row>
    <row r="32" spans="1:10" ht="18.75" customHeight="1" x14ac:dyDescent="0.3">
      <c r="A32" s="9" t="s">
        <v>17</v>
      </c>
      <c r="B32" s="8"/>
      <c r="C32" s="15">
        <f>C8</f>
        <v>295000</v>
      </c>
      <c r="D32" s="6"/>
      <c r="E32" s="13" t="str">
        <f>E8</f>
        <v>فقط  مئة و خمس و تسعون  الف  ليرة سورية</v>
      </c>
      <c r="F32" s="6"/>
      <c r="G32" s="6"/>
      <c r="H32" s="13"/>
      <c r="I32" s="16" t="s">
        <v>19</v>
      </c>
      <c r="J32" s="34">
        <f t="shared" si="0"/>
        <v>13000</v>
      </c>
    </row>
    <row r="33" spans="1:10" ht="18.75" customHeight="1" x14ac:dyDescent="0.3">
      <c r="A33" s="6"/>
      <c r="B33" s="13"/>
      <c r="C33" s="13"/>
      <c r="D33" s="6"/>
      <c r="E33" s="204" t="s">
        <v>20</v>
      </c>
      <c r="F33" s="205"/>
      <c r="G33" s="206"/>
      <c r="H33" s="13"/>
      <c r="I33" s="14" t="s">
        <v>21</v>
      </c>
      <c r="J33" s="36">
        <f t="shared" si="0"/>
        <v>0.11130899376669635</v>
      </c>
    </row>
    <row r="34" spans="1:10" ht="18.75" customHeight="1" x14ac:dyDescent="0.3">
      <c r="A34" s="199" t="s">
        <v>22</v>
      </c>
      <c r="B34" s="197"/>
      <c r="C34" s="197" t="s">
        <v>23</v>
      </c>
      <c r="D34" s="198"/>
      <c r="E34" s="22"/>
      <c r="F34" s="23"/>
      <c r="G34" s="23"/>
      <c r="H34" s="24" t="s">
        <v>32</v>
      </c>
      <c r="I34" s="207" t="s">
        <v>25</v>
      </c>
      <c r="J34" s="208">
        <f t="shared" si="0"/>
        <v>1.730775755076265</v>
      </c>
    </row>
    <row r="35" spans="1:10" ht="18.75" customHeight="1" x14ac:dyDescent="0.3">
      <c r="A35" s="198"/>
      <c r="B35" s="197"/>
      <c r="C35" s="197">
        <f>C11</f>
        <v>25000</v>
      </c>
      <c r="D35" s="198"/>
      <c r="E35" s="25">
        <v>0</v>
      </c>
      <c r="F35" s="26"/>
      <c r="G35" s="26"/>
      <c r="H35" s="27">
        <f>H11+D35+E34</f>
        <v>25000</v>
      </c>
      <c r="I35" s="201"/>
      <c r="J35" s="209"/>
    </row>
    <row r="36" spans="1:10" ht="18.75" customHeight="1" x14ac:dyDescent="0.3">
      <c r="A36" s="9" t="s">
        <v>26</v>
      </c>
      <c r="B36" s="15">
        <f>B12</f>
        <v>10</v>
      </c>
      <c r="C36" s="13"/>
      <c r="D36" s="6"/>
      <c r="E36" s="13" t="str">
        <f>E12</f>
        <v xml:space="preserve"> فقط  خمس و عشرون ألف   ليرة سورية</v>
      </c>
      <c r="F36" s="6"/>
      <c r="G36" s="6"/>
      <c r="H36" s="13"/>
      <c r="I36" s="4"/>
      <c r="J36" s="5"/>
    </row>
    <row r="37" spans="1:10" ht="18.75" customHeight="1" x14ac:dyDescent="0.3">
      <c r="A37" s="9" t="s">
        <v>28</v>
      </c>
      <c r="B37" s="15">
        <f>B13</f>
        <v>110</v>
      </c>
      <c r="C37" s="13"/>
      <c r="D37" s="6"/>
      <c r="E37" s="8" t="s">
        <v>29</v>
      </c>
      <c r="F37" s="9"/>
      <c r="G37" s="9"/>
      <c r="H37" s="28" t="s">
        <v>30</v>
      </c>
      <c r="I37" s="4"/>
      <c r="J37" s="5"/>
    </row>
    <row r="38" spans="1:10" ht="18.75" customHeight="1" x14ac:dyDescent="0.3">
      <c r="A38" s="9"/>
      <c r="B38" s="8"/>
      <c r="C38" s="13"/>
      <c r="D38" s="6"/>
      <c r="E38" s="8"/>
      <c r="F38" s="9"/>
      <c r="G38" s="9"/>
      <c r="H38" s="15"/>
      <c r="I38" s="4"/>
      <c r="J38" s="5"/>
    </row>
    <row r="39" spans="1:10" ht="18.75" customHeight="1" x14ac:dyDescent="0.3">
      <c r="A39" s="6"/>
      <c r="B39" s="13"/>
      <c r="C39" s="13"/>
      <c r="D39" s="6"/>
      <c r="E39" s="13"/>
      <c r="F39" s="6"/>
      <c r="G39" s="6"/>
      <c r="H39" s="13"/>
      <c r="I39" s="4"/>
      <c r="J39" s="5"/>
    </row>
    <row r="40" spans="1:10" ht="18.75" customHeight="1" x14ac:dyDescent="0.3">
      <c r="A40" s="37"/>
      <c r="B40" s="38"/>
      <c r="C40" s="38"/>
      <c r="D40" s="37"/>
      <c r="E40" s="38"/>
      <c r="F40" s="37"/>
      <c r="G40" s="37"/>
      <c r="H40" s="38"/>
      <c r="I40" s="39"/>
      <c r="J40" s="40"/>
    </row>
    <row r="41" spans="1:10" ht="18.75" customHeight="1" x14ac:dyDescent="0.3">
      <c r="A41" s="41"/>
      <c r="B41" s="42"/>
      <c r="C41" s="42"/>
      <c r="D41" s="41"/>
      <c r="E41" s="42"/>
      <c r="F41" s="41"/>
      <c r="G41" s="41"/>
      <c r="H41" s="42"/>
      <c r="I41" s="43"/>
      <c r="J41" s="44"/>
    </row>
  </sheetData>
  <mergeCells count="20">
    <mergeCell ref="A34:B35"/>
    <mergeCell ref="C34:D34"/>
    <mergeCell ref="I34:I35"/>
    <mergeCell ref="J34:J35"/>
    <mergeCell ref="C35:D35"/>
    <mergeCell ref="A25:B25"/>
    <mergeCell ref="A26:H26"/>
    <mergeCell ref="I26:J26"/>
    <mergeCell ref="B27:C27"/>
    <mergeCell ref="E33:G33"/>
    <mergeCell ref="A10:B11"/>
    <mergeCell ref="C10:D10"/>
    <mergeCell ref="I10:I11"/>
    <mergeCell ref="J10:J11"/>
    <mergeCell ref="C11:D11"/>
    <mergeCell ref="A1:B1"/>
    <mergeCell ref="A2:H2"/>
    <mergeCell ref="I2:J2"/>
    <mergeCell ref="B3:C3"/>
    <mergeCell ref="E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ورقة1</vt:lpstr>
      <vt:lpstr>ورقة2</vt:lpstr>
      <vt:lpstr>ورقة3</vt:lpstr>
      <vt:lpstr>ورقة2!Print_Area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Satwr</dc:creator>
  <cp:lastModifiedBy>Abbas Satwr</cp:lastModifiedBy>
  <dcterms:created xsi:type="dcterms:W3CDTF">2026-03-27T15:00:50Z</dcterms:created>
  <dcterms:modified xsi:type="dcterms:W3CDTF">2026-03-28T07:14:51Z</dcterms:modified>
</cp:coreProperties>
</file>